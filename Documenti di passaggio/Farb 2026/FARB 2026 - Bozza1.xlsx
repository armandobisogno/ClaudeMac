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rmandobisogno/Dropbox/ClaudeWS/Documenti di passaggio/Farb 2026/"/>
    </mc:Choice>
  </mc:AlternateContent>
  <xr:revisionPtr revIDLastSave="0" documentId="13_ncr:1_{D775D58D-D0DC-2D4F-B3AB-A35D5151DC21}" xr6:coauthVersionLast="47" xr6:coauthVersionMax="47" xr10:uidLastSave="{00000000-0000-0000-0000-000000000000}"/>
  <bookViews>
    <workbookView xWindow="0" yWindow="600" windowWidth="44800" windowHeight="22800" xr2:uid="{00000000-000D-0000-FFFF-FFFF00000000}"/>
  </bookViews>
  <sheets>
    <sheet name="FARB 2026" sheetId="1" r:id="rId1"/>
    <sheet name="Ricercatori" sheetId="2" r:id="rId2"/>
  </sheets>
  <definedNames>
    <definedName name="_xlnm.Print_Titles" localSheetId="0">'FARB 2026'!$16:$16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2" l="1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N52" i="1"/>
  <c r="O48" i="1"/>
  <c r="E48" i="1"/>
  <c r="M47" i="1"/>
  <c r="E47" i="1"/>
  <c r="O46" i="1"/>
  <c r="E46" i="1"/>
  <c r="E45" i="1"/>
  <c r="M44" i="1"/>
  <c r="E44" i="1"/>
  <c r="M43" i="1"/>
  <c r="E43" i="1"/>
  <c r="E42" i="1"/>
  <c r="O41" i="1"/>
  <c r="M41" i="1"/>
  <c r="E41" i="1"/>
  <c r="O40" i="1"/>
  <c r="K40" i="1"/>
  <c r="E40" i="1"/>
  <c r="E39" i="1"/>
  <c r="E38" i="1"/>
  <c r="E37" i="1"/>
  <c r="O36" i="1"/>
  <c r="M36" i="1"/>
  <c r="E36" i="1"/>
  <c r="O35" i="1"/>
  <c r="M35" i="1"/>
  <c r="E35" i="1"/>
  <c r="M34" i="1"/>
  <c r="E34" i="1"/>
  <c r="O33" i="1"/>
  <c r="E33" i="1"/>
  <c r="E32" i="1"/>
  <c r="E31" i="1"/>
  <c r="O30" i="1"/>
  <c r="E30" i="1"/>
  <c r="O29" i="1"/>
  <c r="E29" i="1"/>
  <c r="M28" i="1"/>
  <c r="E28" i="1"/>
  <c r="E27" i="1"/>
  <c r="M26" i="1"/>
  <c r="E26" i="1"/>
  <c r="M25" i="1"/>
  <c r="E25" i="1"/>
  <c r="M24" i="1"/>
  <c r="E24" i="1"/>
  <c r="M23" i="1"/>
  <c r="E23" i="1"/>
  <c r="M22" i="1"/>
  <c r="E22" i="1"/>
  <c r="E21" i="1"/>
  <c r="O20" i="1"/>
  <c r="M20" i="1"/>
  <c r="E20" i="1"/>
  <c r="O19" i="1"/>
  <c r="M19" i="1"/>
  <c r="E19" i="1"/>
  <c r="O18" i="1"/>
  <c r="E18" i="1"/>
  <c r="M17" i="1"/>
  <c r="E17" i="1"/>
  <c r="E63" i="2" s="1"/>
  <c r="B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E9" i="1"/>
  <c r="E8" i="1"/>
  <c r="E49" i="1" l="1"/>
  <c r="F9" i="1"/>
  <c r="G9" i="1" s="1"/>
  <c r="O17" i="1"/>
  <c r="O22" i="1"/>
  <c r="O27" i="1"/>
  <c r="O43" i="1"/>
  <c r="O44" i="1"/>
  <c r="O21" i="1"/>
  <c r="O23" i="1"/>
  <c r="O24" i="1"/>
  <c r="O25" i="1"/>
  <c r="O26" i="1"/>
  <c r="O28" i="1"/>
  <c r="O31" i="1"/>
  <c r="O32" i="1"/>
  <c r="O39" i="1"/>
  <c r="O45" i="1"/>
  <c r="O47" i="1"/>
  <c r="O37" i="1"/>
  <c r="O42" i="1"/>
  <c r="O34" i="1"/>
  <c r="O38" i="1"/>
  <c r="M18" i="1"/>
  <c r="M49" i="1" s="1"/>
  <c r="M27" i="1"/>
  <c r="M37" i="1"/>
  <c r="M21" i="1"/>
  <c r="M29" i="1"/>
  <c r="M30" i="1"/>
  <c r="M31" i="1"/>
  <c r="M32" i="1"/>
  <c r="M33" i="1"/>
  <c r="M39" i="1"/>
  <c r="M40" i="1"/>
  <c r="M45" i="1"/>
  <c r="M46" i="1"/>
  <c r="M38" i="1"/>
  <c r="M48" i="1"/>
  <c r="M42" i="1"/>
  <c r="K17" i="1"/>
  <c r="K18" i="1"/>
  <c r="K19" i="1"/>
  <c r="K20" i="1"/>
  <c r="K27" i="1"/>
  <c r="K38" i="1"/>
  <c r="K43" i="1"/>
  <c r="K44" i="1"/>
  <c r="K21" i="1"/>
  <c r="K22" i="1"/>
  <c r="K23" i="1"/>
  <c r="K24" i="1"/>
  <c r="K25" i="1"/>
  <c r="K26" i="1"/>
  <c r="K28" i="1"/>
  <c r="K29" i="1"/>
  <c r="K30" i="1"/>
  <c r="K31" i="1"/>
  <c r="K32" i="1"/>
  <c r="K33" i="1"/>
  <c r="K34" i="1"/>
  <c r="K39" i="1"/>
  <c r="K45" i="1"/>
  <c r="K46" i="1"/>
  <c r="K47" i="1"/>
  <c r="K36" i="1"/>
  <c r="K37" i="1"/>
  <c r="K35" i="1"/>
  <c r="K42" i="1"/>
  <c r="K41" i="1"/>
  <c r="K48" i="1"/>
  <c r="I17" i="1"/>
  <c r="I18" i="1"/>
  <c r="I19" i="1"/>
  <c r="I20" i="1"/>
  <c r="I27" i="1"/>
  <c r="I37" i="1"/>
  <c r="I43" i="1"/>
  <c r="I21" i="1"/>
  <c r="I22" i="1"/>
  <c r="I23" i="1"/>
  <c r="I24" i="1"/>
  <c r="I25" i="1"/>
  <c r="I26" i="1"/>
  <c r="I28" i="1"/>
  <c r="I29" i="1"/>
  <c r="I30" i="1"/>
  <c r="I31" i="1"/>
  <c r="I32" i="1"/>
  <c r="I33" i="1"/>
  <c r="I34" i="1"/>
  <c r="I39" i="1"/>
  <c r="I40" i="1"/>
  <c r="I45" i="1"/>
  <c r="I46" i="1"/>
  <c r="I47" i="1"/>
  <c r="I36" i="1"/>
  <c r="I41" i="1"/>
  <c r="I35" i="1"/>
  <c r="I42" i="1"/>
  <c r="I38" i="1"/>
  <c r="I44" i="1"/>
  <c r="I48" i="1"/>
  <c r="G17" i="1" l="1"/>
  <c r="G18" i="1"/>
  <c r="P18" i="1" s="1"/>
  <c r="G19" i="1"/>
  <c r="P19" i="1" s="1"/>
  <c r="G20" i="1"/>
  <c r="P20" i="1" s="1"/>
  <c r="G21" i="1"/>
  <c r="P21" i="1" s="1"/>
  <c r="G44" i="1"/>
  <c r="P44" i="1" s="1"/>
  <c r="G48" i="1"/>
  <c r="P48" i="1" s="1"/>
  <c r="G22" i="1"/>
  <c r="P22" i="1" s="1"/>
  <c r="G23" i="1"/>
  <c r="P23" i="1" s="1"/>
  <c r="G24" i="1"/>
  <c r="P24" i="1" s="1"/>
  <c r="G25" i="1"/>
  <c r="P25" i="1" s="1"/>
  <c r="G26" i="1"/>
  <c r="P26" i="1" s="1"/>
  <c r="G27" i="1"/>
  <c r="P27" i="1" s="1"/>
  <c r="G28" i="1"/>
  <c r="P28" i="1" s="1"/>
  <c r="G29" i="1"/>
  <c r="P29" i="1" s="1"/>
  <c r="G30" i="1"/>
  <c r="P30" i="1" s="1"/>
  <c r="G31" i="1"/>
  <c r="P31" i="1" s="1"/>
  <c r="G32" i="1"/>
  <c r="P32" i="1" s="1"/>
  <c r="G33" i="1"/>
  <c r="P33" i="1" s="1"/>
  <c r="G34" i="1"/>
  <c r="P34" i="1" s="1"/>
  <c r="G39" i="1"/>
  <c r="P39" i="1" s="1"/>
  <c r="G40" i="1"/>
  <c r="P40" i="1" s="1"/>
  <c r="G41" i="1"/>
  <c r="P41" i="1" s="1"/>
  <c r="G45" i="1"/>
  <c r="P45" i="1" s="1"/>
  <c r="G46" i="1"/>
  <c r="P46" i="1" s="1"/>
  <c r="G47" i="1"/>
  <c r="P47" i="1" s="1"/>
  <c r="G36" i="1"/>
  <c r="P36" i="1" s="1"/>
  <c r="G37" i="1"/>
  <c r="P37" i="1" s="1"/>
  <c r="G38" i="1"/>
  <c r="P38" i="1" s="1"/>
  <c r="F11" i="2"/>
  <c r="F19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G35" i="1"/>
  <c r="P35" i="1" s="1"/>
  <c r="G42" i="1"/>
  <c r="P42" i="1" s="1"/>
  <c r="G43" i="1"/>
  <c r="P43" i="1" s="1"/>
  <c r="F7" i="2"/>
  <c r="F8" i="2"/>
  <c r="F10" i="2"/>
  <c r="F13" i="2"/>
  <c r="F15" i="2"/>
  <c r="F17" i="2"/>
  <c r="F18" i="2"/>
  <c r="F42" i="2"/>
  <c r="F45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5" i="2"/>
  <c r="F6" i="2"/>
  <c r="F9" i="2"/>
  <c r="F12" i="2"/>
  <c r="F14" i="2"/>
  <c r="F16" i="2"/>
  <c r="F20" i="2"/>
  <c r="F43" i="2"/>
  <c r="F44" i="2"/>
  <c r="F46" i="2"/>
  <c r="F47" i="2"/>
  <c r="K49" i="1"/>
  <c r="I49" i="1"/>
  <c r="O49" i="1"/>
  <c r="P17" i="1" l="1"/>
  <c r="G49" i="1"/>
  <c r="N53" i="1"/>
  <c r="N54" i="1" s="1"/>
  <c r="F63" i="2"/>
  <c r="P49" i="1" l="1"/>
  <c r="N55" i="1"/>
  <c r="N56" i="1" s="1"/>
  <c r="N57" i="1" s="1"/>
</calcChain>
</file>

<file path=xl/sharedStrings.xml><?xml version="1.0" encoding="utf-8"?>
<sst xmlns="http://schemas.openxmlformats.org/spreadsheetml/2006/main" count="514" uniqueCount="185">
  <si>
    <t>FARB 2026 — Ripartizione dei fondi</t>
  </si>
  <si>
    <t>Dipartimento di Scienze del Patrimonio Culturale · criteri del Regolamento FARB di Dipartimento</t>
  </si>
  <si>
    <t>Numeri in blu = dati da inserire (menu «si»/«no», pesi 0,1 · 0,4 · 0,7 · 1, Ricercatori e silenti nel foglio «Ricercatori»). Ogni indicatore ha accanto la sua quota, dello stesso colore. Tutto il resto si calcola da solo.</t>
  </si>
  <si>
    <t>Totale finanziamento 2026</t>
  </si>
  <si>
    <t>Voce</t>
  </si>
  <si>
    <t>%</t>
  </si>
  <si>
    <t>Importo</t>
  </si>
  <si>
    <t>Base di calcolo</t>
  </si>
  <si>
    <t>Quota unitaria</t>
  </si>
  <si>
    <t>Si divide per</t>
  </si>
  <si>
    <t>FARB DiSPaC</t>
  </si>
  <si>
    <t>—</t>
  </si>
  <si>
    <t>quota fissa</t>
  </si>
  <si>
    <t>C1 · Rilievo scientifico</t>
  </si>
  <si>
    <t>ricercatore non silente</t>
  </si>
  <si>
    <t>C2 · Produzione scientifica</t>
  </si>
  <si>
    <t>punto di peso</t>
  </si>
  <si>
    <t>C3 · Esigenze strategiche</t>
  </si>
  <si>
    <t>progetto con «si»</t>
  </si>
  <si>
    <t>C4 · Aggregazione (≥3 docenti)</t>
  </si>
  <si>
    <t>C5 · Partecipazione (≥80%)</t>
  </si>
  <si>
    <t>N.</t>
  </si>
  <si>
    <t>Docente proponente</t>
  </si>
  <si>
    <t>Gruppo di ricerca / % partecipazione</t>
  </si>
  <si>
    <t>Destinazione</t>
  </si>
  <si>
    <t>Quote C1
(n.)</t>
  </si>
  <si>
    <t>C1</t>
  </si>
  <si>
    <t>Quota C1</t>
  </si>
  <si>
    <t>C2
peso</t>
  </si>
  <si>
    <t>Quota C2</t>
  </si>
  <si>
    <t>C3</t>
  </si>
  <si>
    <t>Quota C3</t>
  </si>
  <si>
    <t>C4</t>
  </si>
  <si>
    <t>Quota C4</t>
  </si>
  <si>
    <t>C5</t>
  </si>
  <si>
    <t>Quota C5</t>
  </si>
  <si>
    <t>TOTALE</t>
  </si>
  <si>
    <t>Adorno</t>
  </si>
  <si>
    <t>95%</t>
  </si>
  <si>
    <t>Docente</t>
  </si>
  <si>
    <t>si</t>
  </si>
  <si>
    <t>no</t>
  </si>
  <si>
    <t>Adriano Amendola</t>
  </si>
  <si>
    <t>Amendola 70% Vaccaro 10% Ricco 10%</t>
  </si>
  <si>
    <t>Angrisano</t>
  </si>
  <si>
    <t>Angrisano 80% Mocchi 10%</t>
  </si>
  <si>
    <t>Bilotta</t>
  </si>
  <si>
    <t>Bilotta 80% Vaccaro 5%</t>
  </si>
  <si>
    <t>Cammarota</t>
  </si>
  <si>
    <t>90% Cammarota 80% Cantillo. 90% Lo Casto 90% Tarantino 92% Tomatis</t>
  </si>
  <si>
    <t>Capriolo</t>
  </si>
  <si>
    <t>80%</t>
  </si>
  <si>
    <t>Dell’Acqua</t>
  </si>
  <si>
    <t>90%</t>
  </si>
  <si>
    <t>Fiorillo</t>
  </si>
  <si>
    <t>85% Fiorillo (esterno 5% Gagliardi)</t>
  </si>
  <si>
    <t>Galdi</t>
  </si>
  <si>
    <t>Gin</t>
  </si>
  <si>
    <t>100%</t>
  </si>
  <si>
    <t>Gorrese</t>
  </si>
  <si>
    <t>Gorrese 90% Esposito 95% (esterno 5% Girelli)</t>
  </si>
  <si>
    <t>Lambert</t>
  </si>
  <si>
    <t>Enza Lamberti</t>
  </si>
  <si>
    <t>Lamberti 90% Lambert 10% (esterno Giulio 3%)</t>
  </si>
  <si>
    <t>Longo</t>
  </si>
  <si>
    <t>Longo 80% Musmeci 5% Pardini 10%</t>
  </si>
  <si>
    <t>Maiorino</t>
  </si>
  <si>
    <t>Maiorino 90% Trotta 60% Zuliani 90%</t>
  </si>
  <si>
    <t>Menichetti</t>
  </si>
  <si>
    <t>Menichetti 90% Guerriero 20% Scafuro 90% Serritella 90% Vecchio 90%</t>
  </si>
  <si>
    <t>Mocchi</t>
  </si>
  <si>
    <t>Angrisano 10% Mocchi 80% Passaro 60%</t>
  </si>
  <si>
    <t>Monaco</t>
  </si>
  <si>
    <t>Monaco 90% Bisogno 80%</t>
  </si>
  <si>
    <t>Napoli</t>
  </si>
  <si>
    <t>Napoli 95% Passaro 30%</t>
  </si>
  <si>
    <t>Pardini</t>
  </si>
  <si>
    <t>Pardini 80% Longo 10%</t>
  </si>
  <si>
    <t>Pellegrino</t>
  </si>
  <si>
    <t>Pellegrino 90% Mugione 90% Musmeci 85% Santoriello 90%</t>
  </si>
  <si>
    <t>Pistoia</t>
  </si>
  <si>
    <t>Frasca 90% Locanto 95% Palmieri 95% Pistoia 95%</t>
  </si>
  <si>
    <t>Regnoli</t>
  </si>
  <si>
    <t>Regnoli 92% (esterni Aiello 1% Calabrese 1% Latorraca 1%)</t>
  </si>
  <si>
    <t>Riccio</t>
  </si>
  <si>
    <t>Riccio 65% (esterni Esposito 35% Sica 5% Parisi 5%)</t>
  </si>
  <si>
    <t>Ricco</t>
  </si>
  <si>
    <t>Amendola 10% Ricco 80%</t>
  </si>
  <si>
    <t>Russo</t>
  </si>
  <si>
    <t>Russo 95% De Filippis 95% Serra 95% Vitale 95%</t>
  </si>
  <si>
    <t>Salvatore</t>
  </si>
  <si>
    <t>Santoro</t>
  </si>
  <si>
    <t>Sapienza</t>
  </si>
  <si>
    <t>D’Arienzo 90% Egidio 90% Innamorati 90% Sapienza 90%</t>
  </si>
  <si>
    <t>Vaccaro</t>
  </si>
  <si>
    <t>Amendola 10% Bilotta 10% Vaccaro 70%</t>
  </si>
  <si>
    <t>Marino</t>
  </si>
  <si>
    <t>Santaniello</t>
  </si>
  <si>
    <t>Santaniello 70% Amodio 95% Trotta 35%</t>
  </si>
  <si>
    <t>RIEPILOGO</t>
  </si>
  <si>
    <t>FARB DiSPaC · quota 10%</t>
  </si>
  <si>
    <t>+ progetti che confluiscono nel FARB DiSPaC</t>
  </si>
  <si>
    <t>Assegnato ai docenti proponenti</t>
  </si>
  <si>
    <t>TOTALE RIPARTITO</t>
  </si>
  <si>
    <t>Differenza rispetto al finanziamento (deve essere 0)</t>
  </si>
  <si>
    <t>Nota C1: ogni ricercatore non silente del Dipartimento ha diritto a una sola quota, assegnata a un solo progetto (foglio «Ricercatori»); i componenti esterni sono esclusi.</t>
  </si>
  <si>
    <t>Ricercatori del Dipartimento — una quota C1 ciascuno</t>
  </si>
  <si>
    <t>Ogni ricercatore non silente ha diritto a UNA sola quota C1, assegnata al progetto indicato in colonna E (di default: quello con la percentuale di partecipazione più alta). Celle gialle modificabili.</t>
  </si>
  <si>
    <t>Ricercatore</t>
  </si>
  <si>
    <t>Gruppi di ricerca (% partecipazione)</t>
  </si>
  <si>
    <t>Silente</t>
  </si>
  <si>
    <t>Quota C1 assegnata al progetto di</t>
  </si>
  <si>
    <t>Controllo</t>
  </si>
  <si>
    <t>Adorno 95%</t>
  </si>
  <si>
    <t>Amendola</t>
  </si>
  <si>
    <t>Adriano Amendola 70% · Ricco 10% · Vaccaro 10%</t>
  </si>
  <si>
    <t>Adriano Amendola 10% · Bilotta 5% · Vaccaro 70%</t>
  </si>
  <si>
    <t>Adriano Amendola 10% · Ricco 80%</t>
  </si>
  <si>
    <t>Angrisano 80% · Mocchi 10%</t>
  </si>
  <si>
    <t>Angrisano 10% · Mocchi 80%</t>
  </si>
  <si>
    <t>Bilotta 80% · Vaccaro 10%</t>
  </si>
  <si>
    <t>Cammarota 90%</t>
  </si>
  <si>
    <t>Cantillo</t>
  </si>
  <si>
    <t>Cammarota 80%</t>
  </si>
  <si>
    <t>Lo Casto</t>
  </si>
  <si>
    <t>Tarantino</t>
  </si>
  <si>
    <t>Tomatis</t>
  </si>
  <si>
    <t>Cammarota 92%</t>
  </si>
  <si>
    <t>Capriolo 80%</t>
  </si>
  <si>
    <t>Dell’Acqua 90%</t>
  </si>
  <si>
    <t>Fiorillo 85%</t>
  </si>
  <si>
    <t>Galdi 80%</t>
  </si>
  <si>
    <t>Gin 100%</t>
  </si>
  <si>
    <t>Gorrese 90%</t>
  </si>
  <si>
    <t>Esposito</t>
  </si>
  <si>
    <t>Gorrese 95%</t>
  </si>
  <si>
    <t>Lambert 80% · Enza Lamberti 10%</t>
  </si>
  <si>
    <t>Lamberti</t>
  </si>
  <si>
    <t>Enza Lamberti 90%</t>
  </si>
  <si>
    <t>Longo 80% · Pardini 10%</t>
  </si>
  <si>
    <t>Musmeci</t>
  </si>
  <si>
    <t>Longo 5% · Pellegrino 85%</t>
  </si>
  <si>
    <t>Longo 10% · Pardini 80%</t>
  </si>
  <si>
    <t>Maiorino 90%</t>
  </si>
  <si>
    <t>Trotta</t>
  </si>
  <si>
    <t>Maiorino 60% · Santaniello 35%</t>
  </si>
  <si>
    <t>Zuliani</t>
  </si>
  <si>
    <t>Menichetti 90%</t>
  </si>
  <si>
    <t>Guerriero</t>
  </si>
  <si>
    <t>Menichetti 20%</t>
  </si>
  <si>
    <t>Scafuro</t>
  </si>
  <si>
    <t>Serritella</t>
  </si>
  <si>
    <t>Vecchio</t>
  </si>
  <si>
    <t>Passaro</t>
  </si>
  <si>
    <t>Mocchi 60% · Napoli 30%</t>
  </si>
  <si>
    <t>Monaco 90%</t>
  </si>
  <si>
    <t>Bisogno</t>
  </si>
  <si>
    <t>Monaco 80%</t>
  </si>
  <si>
    <t>Napoli 95%</t>
  </si>
  <si>
    <t>Pellegrino 90%</t>
  </si>
  <si>
    <t>Mugione</t>
  </si>
  <si>
    <t>Santoriello</t>
  </si>
  <si>
    <t>Frasca</t>
  </si>
  <si>
    <t>Pistoia 90%</t>
  </si>
  <si>
    <t>Locanto</t>
  </si>
  <si>
    <t>Pistoia 95%</t>
  </si>
  <si>
    <t>Palmieri</t>
  </si>
  <si>
    <t>Regnoli 92%</t>
  </si>
  <si>
    <t>Riccio 65%</t>
  </si>
  <si>
    <t>Russo 95%</t>
  </si>
  <si>
    <t>De Filippis</t>
  </si>
  <si>
    <t>Serra</t>
  </si>
  <si>
    <t>Vitale</t>
  </si>
  <si>
    <t>Salvatore 90%</t>
  </si>
  <si>
    <t>Santoro 90%</t>
  </si>
  <si>
    <t>D’Arienzo</t>
  </si>
  <si>
    <t>Sapienza 90%</t>
  </si>
  <si>
    <t>Egidio</t>
  </si>
  <si>
    <t>Innamorati</t>
  </si>
  <si>
    <t>Marino 95%</t>
  </si>
  <si>
    <t>Santaniello 70%</t>
  </si>
  <si>
    <t>Amodio</t>
  </si>
  <si>
    <t>Santaniello 95%</t>
  </si>
  <si>
    <t>Ricercatori non silenti</t>
  </si>
  <si>
    <t>In grassetto: ricercatori presenti in più gruppi.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</si>
</sst>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;\-#,##0.00\ \€;&quot;–&quot;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15"/>
      <color rgb="FF1F3864"/>
      <name val="Arial"/>
      <family val="2"/>
    </font>
    <font>
      <i/>
      <sz val="9"/>
      <color rgb="FF555555"/>
      <name val="Arial"/>
      <family val="2"/>
    </font>
    <font>
      <sz val="9"/>
      <color rgb="FF555555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name val="Arial"/>
      <family val="2"/>
    </font>
    <font>
      <sz val="9"/>
      <color rgb="FF444444"/>
      <name val="Arial"/>
      <family val="2"/>
    </font>
    <font>
      <b/>
      <sz val="10"/>
      <name val="Arial"/>
      <family val="2"/>
    </font>
    <font>
      <b/>
      <sz val="12"/>
      <color rgb="FF1F3864"/>
      <name val="Arial"/>
      <family val="2"/>
    </font>
    <font>
      <sz val="11"/>
      <name val="Arial"/>
      <family val="2"/>
    </font>
    <font>
      <b/>
      <sz val="14"/>
      <color rgb="FF1F3864"/>
      <name val="Arial"/>
      <family val="2"/>
    </font>
    <font>
      <sz val="9"/>
      <color rgb="FFC00000"/>
      <name val="Arial"/>
      <family val="2"/>
    </font>
    <font>
      <sz val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1F3864"/>
      </patternFill>
    </fill>
    <fill>
      <patternFill patternType="solid">
        <fgColor rgb="FFC5D9F1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D5B9EA"/>
      </patternFill>
    </fill>
    <fill>
      <patternFill patternType="solid">
        <fgColor rgb="FF2F5597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DEEAF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EADCF4"/>
      </patternFill>
    </fill>
    <fill>
      <patternFill patternType="solid">
        <fgColor rgb="FFE8ECF3"/>
      </patternFill>
    </fill>
    <fill>
      <patternFill patternType="solid">
        <fgColor rgb="FFDDE4EE"/>
      </patternFill>
    </fill>
  </fills>
  <borders count="3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  <border>
      <left/>
      <right/>
      <top/>
      <bottom style="thin">
        <color rgb="FFB7C0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2" borderId="1" xfId="0" applyNumberFormat="1" applyFont="1" applyFill="1" applyBorder="1"/>
    <xf numFmtId="0" fontId="6" fillId="3" borderId="0" xfId="0" applyFont="1" applyFill="1" applyAlignment="1">
      <alignment horizontal="center"/>
    </xf>
    <xf numFmtId="0" fontId="7" fillId="0" borderId="1" xfId="0" applyFont="1" applyBorder="1"/>
    <xf numFmtId="9" fontId="8" fillId="2" borderId="1" xfId="0" applyNumberFormat="1" applyFont="1" applyFill="1" applyBorder="1"/>
    <xf numFmtId="164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/>
    <xf numFmtId="165" fontId="7" fillId="0" borderId="1" xfId="0" applyNumberFormat="1" applyFont="1" applyBorder="1"/>
    <xf numFmtId="0" fontId="9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/>
    <xf numFmtId="165" fontId="8" fillId="1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/>
    <xf numFmtId="0" fontId="8" fillId="16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/>
    <xf numFmtId="0" fontId="8" fillId="17" borderId="1" xfId="0" applyFont="1" applyFill="1" applyBorder="1" applyAlignment="1">
      <alignment horizontal="center" vertical="center"/>
    </xf>
    <xf numFmtId="164" fontId="7" fillId="7" borderId="1" xfId="0" applyNumberFormat="1" applyFont="1" applyFill="1" applyBorder="1"/>
    <xf numFmtId="0" fontId="8" fillId="18" borderId="1" xfId="0" applyFont="1" applyFill="1" applyBorder="1" applyAlignment="1">
      <alignment horizontal="center" vertical="center"/>
    </xf>
    <xf numFmtId="164" fontId="7" fillId="8" borderId="1" xfId="0" applyNumberFormat="1" applyFont="1" applyFill="1" applyBorder="1"/>
    <xf numFmtId="164" fontId="11" fillId="19" borderId="1" xfId="0" applyNumberFormat="1" applyFont="1" applyFill="1" applyBorder="1"/>
    <xf numFmtId="0" fontId="4" fillId="20" borderId="1" xfId="0" applyFont="1" applyFill="1" applyBorder="1"/>
    <xf numFmtId="0" fontId="4" fillId="20" borderId="1" xfId="0" applyFont="1" applyFill="1" applyBorder="1" applyAlignment="1">
      <alignment horizontal="center"/>
    </xf>
    <xf numFmtId="164" fontId="4" fillId="20" borderId="1" xfId="0" applyNumberFormat="1" applyFont="1" applyFill="1" applyBorder="1"/>
    <xf numFmtId="0" fontId="12" fillId="0" borderId="0" xfId="0" applyFont="1"/>
    <xf numFmtId="0" fontId="14" fillId="0" borderId="0" xfId="0" applyFont="1"/>
    <xf numFmtId="0" fontId="10" fillId="0" borderId="1" xfId="0" applyFont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15" fillId="0" borderId="0" xfId="0" applyFont="1"/>
    <xf numFmtId="0" fontId="11" fillId="0" borderId="1" xfId="0" applyFont="1" applyBorder="1"/>
    <xf numFmtId="0" fontId="16" fillId="0" borderId="1" xfId="0" applyFont="1" applyBorder="1"/>
    <xf numFmtId="0" fontId="6" fillId="3" borderId="0" xfId="0" applyFont="1" applyFill="1" applyAlignment="1">
      <alignment horizontal="center"/>
    </xf>
    <xf numFmtId="0" fontId="0" fillId="0" borderId="0" xfId="0"/>
    <xf numFmtId="164" fontId="13" fillId="0" borderId="2" xfId="0" applyNumberFormat="1" applyFont="1" applyBorder="1"/>
    <xf numFmtId="0" fontId="0" fillId="0" borderId="2" xfId="0" applyBorder="1"/>
    <xf numFmtId="0" fontId="13" fillId="0" borderId="2" xfId="0" applyFont="1" applyBorder="1"/>
    <xf numFmtId="0" fontId="7" fillId="7" borderId="1" xfId="0" applyFont="1" applyFill="1" applyBorder="1"/>
    <xf numFmtId="0" fontId="7" fillId="0" borderId="1" xfId="0" applyFont="1" applyBorder="1"/>
    <xf numFmtId="0" fontId="7" fillId="6" borderId="1" xfId="0" applyFont="1" applyFill="1" applyBorder="1"/>
    <xf numFmtId="0" fontId="7" fillId="8" borderId="1" xfId="0" applyFont="1" applyFill="1" applyBorder="1"/>
    <xf numFmtId="0" fontId="7" fillId="5" borderId="1" xfId="0" applyFont="1" applyFill="1" applyBorder="1"/>
    <xf numFmtId="0" fontId="7" fillId="4" borderId="1" xfId="0" applyFont="1" applyFill="1" applyBorder="1"/>
    <xf numFmtId="164" fontId="4" fillId="20" borderId="2" xfId="0" applyNumberFormat="1" applyFont="1" applyFill="1" applyBorder="1"/>
    <xf numFmtId="0" fontId="0" fillId="20" borderId="2" xfId="0" applyFill="1" applyBorder="1"/>
    <xf numFmtId="0" fontId="4" fillId="20" borderId="2" xfId="0" applyFont="1" applyFill="1" applyBorder="1"/>
  </cellXfs>
  <cellStyles count="1">
    <cellStyle name="Normale" xfId="0" builtinId="0"/>
  </cellStyles>
  <dxfs count="2">
    <dxf>
      <font>
        <b/>
        <color rgb="FFC00000"/>
        <name val="Arial"/>
      </font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9"/>
  <sheetViews>
    <sheetView showGridLines="0" tabSelected="1" workbookViewId="0">
      <pane xSplit="2" ySplit="16" topLeftCell="C17" activePane="bottomRight" state="frozen"/>
      <selection pane="topRight"/>
      <selection pane="bottomLeft"/>
      <selection pane="bottomRight" activeCell="J7" sqref="J7"/>
    </sheetView>
  </sheetViews>
  <sheetFormatPr baseColWidth="10" defaultColWidth="8.83203125" defaultRowHeight="15" x14ac:dyDescent="0.2"/>
  <cols>
    <col min="1" max="1" width="4.5" customWidth="1"/>
    <col min="2" max="2" width="20" customWidth="1"/>
    <col min="3" max="3" width="40" customWidth="1"/>
    <col min="4" max="4" width="14" customWidth="1"/>
    <col min="5" max="5" width="8" customWidth="1"/>
    <col min="6" max="6" width="6" customWidth="1"/>
    <col min="7" max="7" width="11.5" customWidth="1"/>
    <col min="8" max="8" width="6" customWidth="1"/>
    <col min="9" max="9" width="11.5" customWidth="1"/>
    <col min="10" max="10" width="6" customWidth="1"/>
    <col min="11" max="11" width="11.5" customWidth="1"/>
    <col min="12" max="12" width="6" customWidth="1"/>
    <col min="13" max="13" width="11.5" customWidth="1"/>
    <col min="14" max="14" width="6" customWidth="1"/>
    <col min="15" max="15" width="11.5" customWidth="1"/>
    <col min="16" max="16" width="13.5" customWidth="1"/>
  </cols>
  <sheetData>
    <row r="1" spans="1:16" ht="19" x14ac:dyDescent="0.2">
      <c r="A1" s="1" t="s">
        <v>0</v>
      </c>
    </row>
    <row r="2" spans="1:16" x14ac:dyDescent="0.2">
      <c r="A2" s="2" t="s">
        <v>1</v>
      </c>
    </row>
    <row r="3" spans="1:16" x14ac:dyDescent="0.2">
      <c r="A3" s="3" t="s">
        <v>2</v>
      </c>
    </row>
    <row r="5" spans="1:16" x14ac:dyDescent="0.2">
      <c r="B5" s="4" t="s">
        <v>3</v>
      </c>
      <c r="E5" s="5">
        <v>122438</v>
      </c>
    </row>
    <row r="7" spans="1:16" x14ac:dyDescent="0.2">
      <c r="B7" s="45" t="s">
        <v>4</v>
      </c>
      <c r="C7" s="46"/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</row>
    <row r="8" spans="1:16" x14ac:dyDescent="0.2">
      <c r="B8" s="51" t="s">
        <v>10</v>
      </c>
      <c r="C8" s="51"/>
      <c r="D8" s="8">
        <v>0.1</v>
      </c>
      <c r="E8" s="9">
        <f t="shared" ref="E8:E13" si="0">$E$5*D8</f>
        <v>12243.800000000001</v>
      </c>
      <c r="F8" s="10" t="s">
        <v>11</v>
      </c>
      <c r="G8" s="7"/>
      <c r="H8" s="7" t="s">
        <v>12</v>
      </c>
    </row>
    <row r="9" spans="1:16" x14ac:dyDescent="0.2">
      <c r="B9" s="55" t="s">
        <v>13</v>
      </c>
      <c r="C9" s="51"/>
      <c r="D9" s="8">
        <v>0.4</v>
      </c>
      <c r="E9" s="9">
        <f t="shared" si="0"/>
        <v>48975.200000000004</v>
      </c>
      <c r="F9" s="11">
        <f>SUMIF($F$17:$F$48,"si",$E$17:$E$48)</f>
        <v>58</v>
      </c>
      <c r="G9" s="9">
        <f>IF(F9=0,0,E9/F9)</f>
        <v>844.40000000000009</v>
      </c>
      <c r="H9" s="7" t="s">
        <v>14</v>
      </c>
    </row>
    <row r="10" spans="1:16" x14ac:dyDescent="0.2">
      <c r="B10" s="54" t="s">
        <v>15</v>
      </c>
      <c r="C10" s="51"/>
      <c r="D10" s="8">
        <v>0.1</v>
      </c>
      <c r="E10" s="9">
        <f t="shared" si="0"/>
        <v>12243.800000000001</v>
      </c>
      <c r="F10" s="12">
        <f>SUMIF($F$17:$F$48,"si",$H$17:$H$48)</f>
        <v>22.699999999999989</v>
      </c>
      <c r="G10" s="9">
        <f>IF(F10=0,0,E10/F10)</f>
        <v>539.37444933920733</v>
      </c>
      <c r="H10" s="7" t="s">
        <v>16</v>
      </c>
    </row>
    <row r="11" spans="1:16" x14ac:dyDescent="0.2">
      <c r="B11" s="52" t="s">
        <v>17</v>
      </c>
      <c r="C11" s="51"/>
      <c r="D11" s="8">
        <v>0.25</v>
      </c>
      <c r="E11" s="9">
        <f t="shared" si="0"/>
        <v>30609.5</v>
      </c>
      <c r="F11" s="11">
        <f>COUNTIF($J$17:$J$48,"si")</f>
        <v>31</v>
      </c>
      <c r="G11" s="9">
        <f>IF(F11=0,0,E11/F11)</f>
        <v>987.40322580645159</v>
      </c>
      <c r="H11" s="7" t="s">
        <v>18</v>
      </c>
    </row>
    <row r="12" spans="1:16" x14ac:dyDescent="0.2">
      <c r="B12" s="50" t="s">
        <v>19</v>
      </c>
      <c r="C12" s="51"/>
      <c r="D12" s="8">
        <v>0.1</v>
      </c>
      <c r="E12" s="9">
        <f t="shared" si="0"/>
        <v>12243.800000000001</v>
      </c>
      <c r="F12" s="11">
        <f>COUNTIF($L$17:$L$48,"si")</f>
        <v>16</v>
      </c>
      <c r="G12" s="9">
        <f>IF(F12=0,0,E12/F12)</f>
        <v>765.23750000000007</v>
      </c>
      <c r="H12" s="7" t="s">
        <v>18</v>
      </c>
    </row>
    <row r="13" spans="1:16" x14ac:dyDescent="0.2">
      <c r="B13" s="53" t="s">
        <v>20</v>
      </c>
      <c r="C13" s="51"/>
      <c r="D13" s="8">
        <v>0.05</v>
      </c>
      <c r="E13" s="9">
        <f t="shared" si="0"/>
        <v>6121.9000000000005</v>
      </c>
      <c r="F13" s="11">
        <f>COUNTIF($N$17:$N$48,"si")</f>
        <v>20</v>
      </c>
      <c r="G13" s="9">
        <f>IF(F13=0,0,E13/F13)</f>
        <v>306.09500000000003</v>
      </c>
      <c r="H13" s="7" t="s">
        <v>18</v>
      </c>
    </row>
    <row r="14" spans="1:16" x14ac:dyDescent="0.2">
      <c r="B14" s="13" t="str">
        <f>IF(ROUND(SUM(D8:D13),6)=1,"✓ Le percentuali sommano a 100%","⚠ Le percentuali NON sommano a 100%")</f>
        <v>✓ Le percentuali sommano a 100%</v>
      </c>
    </row>
    <row r="16" spans="1:16" ht="30" customHeight="1" x14ac:dyDescent="0.2">
      <c r="A16" s="14" t="s">
        <v>21</v>
      </c>
      <c r="B16" s="14" t="s">
        <v>22</v>
      </c>
      <c r="C16" s="14" t="s">
        <v>23</v>
      </c>
      <c r="D16" s="14" t="s">
        <v>24</v>
      </c>
      <c r="E16" s="14" t="s">
        <v>25</v>
      </c>
      <c r="F16" s="15" t="s">
        <v>26</v>
      </c>
      <c r="G16" s="15" t="s">
        <v>27</v>
      </c>
      <c r="H16" s="16" t="s">
        <v>28</v>
      </c>
      <c r="I16" s="16" t="s">
        <v>29</v>
      </c>
      <c r="J16" s="17" t="s">
        <v>30</v>
      </c>
      <c r="K16" s="17" t="s">
        <v>31</v>
      </c>
      <c r="L16" s="18" t="s">
        <v>32</v>
      </c>
      <c r="M16" s="18" t="s">
        <v>33</v>
      </c>
      <c r="N16" s="19" t="s">
        <v>34</v>
      </c>
      <c r="O16" s="19" t="s">
        <v>35</v>
      </c>
      <c r="P16" s="14" t="s">
        <v>36</v>
      </c>
    </row>
    <row r="17" spans="1:16" x14ac:dyDescent="0.2">
      <c r="A17" s="7">
        <v>1</v>
      </c>
      <c r="B17" s="7" t="s">
        <v>37</v>
      </c>
      <c r="C17" s="20" t="s">
        <v>38</v>
      </c>
      <c r="D17" s="21" t="s">
        <v>39</v>
      </c>
      <c r="E17" s="22">
        <f>COUNTIFS(Ricercatori!$E$5:$E$62,B17,Ricercatori!$D$5:$D$62,"no")</f>
        <v>1</v>
      </c>
      <c r="F17" s="23" t="s">
        <v>40</v>
      </c>
      <c r="G17" s="24">
        <f t="shared" ref="G17:G48" si="1">IF(F17="si",$G$9*E17,0)</f>
        <v>844.40000000000009</v>
      </c>
      <c r="H17" s="25">
        <v>1</v>
      </c>
      <c r="I17" s="26">
        <f t="shared" ref="I17:I48" si="2">IF(F17="si",$G$10*H17,0)</f>
        <v>539.37444933920733</v>
      </c>
      <c r="J17" s="27" t="s">
        <v>40</v>
      </c>
      <c r="K17" s="28">
        <f t="shared" ref="K17:K48" si="3">IF(J17="si",$G$11,0)</f>
        <v>987.40322580645159</v>
      </c>
      <c r="L17" s="29" t="s">
        <v>41</v>
      </c>
      <c r="M17" s="30">
        <f t="shared" ref="M17:M48" si="4">IF(L17="si",$G$12,0)</f>
        <v>0</v>
      </c>
      <c r="N17" s="31" t="s">
        <v>40</v>
      </c>
      <c r="O17" s="32">
        <f t="shared" ref="O17:O48" si="5">IF(N17="si",$G$13,0)</f>
        <v>306.09500000000003</v>
      </c>
      <c r="P17" s="33">
        <f t="shared" ref="P17:P48" si="6">G17+I17+K17+M17+O17</f>
        <v>2677.2726751456594</v>
      </c>
    </row>
    <row r="18" spans="1:16" x14ac:dyDescent="0.2">
      <c r="A18" s="7">
        <v>2</v>
      </c>
      <c r="B18" s="7" t="s">
        <v>42</v>
      </c>
      <c r="C18" s="20" t="s">
        <v>43</v>
      </c>
      <c r="D18" s="21" t="s">
        <v>39</v>
      </c>
      <c r="E18" s="22">
        <f>COUNTIFS(Ricercatori!$E$5:$E$62,B18,Ricercatori!$D$5:$D$62,"no")</f>
        <v>1</v>
      </c>
      <c r="F18" s="23" t="s">
        <v>40</v>
      </c>
      <c r="G18" s="24">
        <f t="shared" si="1"/>
        <v>844.40000000000009</v>
      </c>
      <c r="H18" s="25">
        <v>0.7</v>
      </c>
      <c r="I18" s="26">
        <f t="shared" si="2"/>
        <v>377.5621145374451</v>
      </c>
      <c r="J18" s="27" t="s">
        <v>40</v>
      </c>
      <c r="K18" s="28">
        <f t="shared" si="3"/>
        <v>987.40322580645159</v>
      </c>
      <c r="L18" s="29" t="s">
        <v>40</v>
      </c>
      <c r="M18" s="30">
        <f t="shared" si="4"/>
        <v>765.23750000000007</v>
      </c>
      <c r="N18" s="31" t="s">
        <v>41</v>
      </c>
      <c r="O18" s="32">
        <f t="shared" si="5"/>
        <v>0</v>
      </c>
      <c r="P18" s="33">
        <f t="shared" si="6"/>
        <v>2974.6028403438968</v>
      </c>
    </row>
    <row r="19" spans="1:16" x14ac:dyDescent="0.2">
      <c r="A19" s="7">
        <v>3</v>
      </c>
      <c r="B19" s="7" t="s">
        <v>44</v>
      </c>
      <c r="C19" s="20" t="s">
        <v>45</v>
      </c>
      <c r="D19" s="21" t="s">
        <v>39</v>
      </c>
      <c r="E19" s="22">
        <f>COUNTIFS(Ricercatori!$E$5:$E$62,B19,Ricercatori!$D$5:$D$62,"no")</f>
        <v>1</v>
      </c>
      <c r="F19" s="23" t="s">
        <v>40</v>
      </c>
      <c r="G19" s="24">
        <f t="shared" si="1"/>
        <v>844.40000000000009</v>
      </c>
      <c r="H19" s="25">
        <v>0.7</v>
      </c>
      <c r="I19" s="26">
        <f t="shared" si="2"/>
        <v>377.5621145374451</v>
      </c>
      <c r="J19" s="27" t="s">
        <v>40</v>
      </c>
      <c r="K19" s="28">
        <f t="shared" si="3"/>
        <v>987.40322580645159</v>
      </c>
      <c r="L19" s="29" t="s">
        <v>41</v>
      </c>
      <c r="M19" s="30">
        <f t="shared" si="4"/>
        <v>0</v>
      </c>
      <c r="N19" s="31" t="s">
        <v>41</v>
      </c>
      <c r="O19" s="32">
        <f t="shared" si="5"/>
        <v>0</v>
      </c>
      <c r="P19" s="33">
        <f t="shared" si="6"/>
        <v>2209.3653403438966</v>
      </c>
    </row>
    <row r="20" spans="1:16" x14ac:dyDescent="0.2">
      <c r="A20" s="7">
        <v>4</v>
      </c>
      <c r="B20" s="7" t="s">
        <v>46</v>
      </c>
      <c r="C20" s="20" t="s">
        <v>47</v>
      </c>
      <c r="D20" s="21" t="s">
        <v>39</v>
      </c>
      <c r="E20" s="22">
        <f>COUNTIFS(Ricercatori!$E$5:$E$62,B20,Ricercatori!$D$5:$D$62,"no")</f>
        <v>1</v>
      </c>
      <c r="F20" s="23" t="s">
        <v>40</v>
      </c>
      <c r="G20" s="24">
        <f t="shared" si="1"/>
        <v>844.40000000000009</v>
      </c>
      <c r="H20" s="25">
        <v>0.7</v>
      </c>
      <c r="I20" s="26">
        <f t="shared" si="2"/>
        <v>377.5621145374451</v>
      </c>
      <c r="J20" s="27" t="s">
        <v>40</v>
      </c>
      <c r="K20" s="28">
        <f t="shared" si="3"/>
        <v>987.40322580645159</v>
      </c>
      <c r="L20" s="29" t="s">
        <v>41</v>
      </c>
      <c r="M20" s="30">
        <f t="shared" si="4"/>
        <v>0</v>
      </c>
      <c r="N20" s="31" t="s">
        <v>41</v>
      </c>
      <c r="O20" s="32">
        <f t="shared" si="5"/>
        <v>0</v>
      </c>
      <c r="P20" s="33">
        <f t="shared" si="6"/>
        <v>2209.3653403438966</v>
      </c>
    </row>
    <row r="21" spans="1:16" ht="26" x14ac:dyDescent="0.2">
      <c r="A21" s="7">
        <v>5</v>
      </c>
      <c r="B21" s="7" t="s">
        <v>48</v>
      </c>
      <c r="C21" s="20" t="s">
        <v>49</v>
      </c>
      <c r="D21" s="21" t="s">
        <v>39</v>
      </c>
      <c r="E21" s="22">
        <f>COUNTIFS(Ricercatori!$E$5:$E$62,B21,Ricercatori!$D$5:$D$62,"no")</f>
        <v>5</v>
      </c>
      <c r="F21" s="23" t="s">
        <v>40</v>
      </c>
      <c r="G21" s="24">
        <f t="shared" si="1"/>
        <v>4222</v>
      </c>
      <c r="H21" s="25">
        <v>0.7</v>
      </c>
      <c r="I21" s="26">
        <f t="shared" si="2"/>
        <v>377.5621145374451</v>
      </c>
      <c r="J21" s="27" t="s">
        <v>40</v>
      </c>
      <c r="K21" s="28">
        <f t="shared" si="3"/>
        <v>987.40322580645159</v>
      </c>
      <c r="L21" s="29" t="s">
        <v>40</v>
      </c>
      <c r="M21" s="30">
        <f t="shared" si="4"/>
        <v>765.23750000000007</v>
      </c>
      <c r="N21" s="31" t="s">
        <v>40</v>
      </c>
      <c r="O21" s="32">
        <f t="shared" si="5"/>
        <v>306.09500000000003</v>
      </c>
      <c r="P21" s="33">
        <f t="shared" si="6"/>
        <v>6658.2978403438974</v>
      </c>
    </row>
    <row r="22" spans="1:16" x14ac:dyDescent="0.2">
      <c r="A22" s="7">
        <v>6</v>
      </c>
      <c r="B22" s="7" t="s">
        <v>50</v>
      </c>
      <c r="C22" s="20" t="s">
        <v>51</v>
      </c>
      <c r="D22" s="21" t="s">
        <v>39</v>
      </c>
      <c r="E22" s="22">
        <f>COUNTIFS(Ricercatori!$E$5:$E$62,B22,Ricercatori!$D$5:$D$62,"no")</f>
        <v>1</v>
      </c>
      <c r="F22" s="23" t="s">
        <v>40</v>
      </c>
      <c r="G22" s="24">
        <f t="shared" si="1"/>
        <v>844.40000000000009</v>
      </c>
      <c r="H22" s="25">
        <v>0.7</v>
      </c>
      <c r="I22" s="26">
        <f t="shared" si="2"/>
        <v>377.5621145374451</v>
      </c>
      <c r="J22" s="27" t="s">
        <v>40</v>
      </c>
      <c r="K22" s="28">
        <f t="shared" si="3"/>
        <v>987.40322580645159</v>
      </c>
      <c r="L22" s="29" t="s">
        <v>41</v>
      </c>
      <c r="M22" s="30">
        <f t="shared" si="4"/>
        <v>0</v>
      </c>
      <c r="N22" s="31" t="s">
        <v>40</v>
      </c>
      <c r="O22" s="32">
        <f t="shared" si="5"/>
        <v>306.09500000000003</v>
      </c>
      <c r="P22" s="33">
        <f t="shared" si="6"/>
        <v>2515.4603403438969</v>
      </c>
    </row>
    <row r="23" spans="1:16" x14ac:dyDescent="0.2">
      <c r="A23" s="7">
        <v>7</v>
      </c>
      <c r="B23" s="7" t="s">
        <v>52</v>
      </c>
      <c r="C23" s="20" t="s">
        <v>53</v>
      </c>
      <c r="D23" s="21" t="s">
        <v>39</v>
      </c>
      <c r="E23" s="22">
        <f>COUNTIFS(Ricercatori!$E$5:$E$62,B23,Ricercatori!$D$5:$D$62,"no")</f>
        <v>1</v>
      </c>
      <c r="F23" s="23" t="s">
        <v>40</v>
      </c>
      <c r="G23" s="24">
        <f t="shared" si="1"/>
        <v>844.40000000000009</v>
      </c>
      <c r="H23" s="25">
        <v>0.7</v>
      </c>
      <c r="I23" s="26">
        <f t="shared" si="2"/>
        <v>377.5621145374451</v>
      </c>
      <c r="J23" s="27" t="s">
        <v>40</v>
      </c>
      <c r="K23" s="28">
        <f t="shared" si="3"/>
        <v>987.40322580645159</v>
      </c>
      <c r="L23" s="29" t="s">
        <v>41</v>
      </c>
      <c r="M23" s="30">
        <f t="shared" si="4"/>
        <v>0</v>
      </c>
      <c r="N23" s="31" t="s">
        <v>40</v>
      </c>
      <c r="O23" s="32">
        <f t="shared" si="5"/>
        <v>306.09500000000003</v>
      </c>
      <c r="P23" s="33">
        <f t="shared" si="6"/>
        <v>2515.4603403438969</v>
      </c>
    </row>
    <row r="24" spans="1:16" x14ac:dyDescent="0.2">
      <c r="A24" s="7">
        <v>8</v>
      </c>
      <c r="B24" s="7" t="s">
        <v>54</v>
      </c>
      <c r="C24" s="20" t="s">
        <v>55</v>
      </c>
      <c r="D24" s="21" t="s">
        <v>39</v>
      </c>
      <c r="E24" s="22">
        <f>COUNTIFS(Ricercatori!$E$5:$E$62,B24,Ricercatori!$D$5:$D$62,"no")</f>
        <v>1</v>
      </c>
      <c r="F24" s="23" t="s">
        <v>40</v>
      </c>
      <c r="G24" s="24">
        <f t="shared" si="1"/>
        <v>844.40000000000009</v>
      </c>
      <c r="H24" s="25">
        <v>0.7</v>
      </c>
      <c r="I24" s="26">
        <f t="shared" si="2"/>
        <v>377.5621145374451</v>
      </c>
      <c r="J24" s="27" t="s">
        <v>40</v>
      </c>
      <c r="K24" s="28">
        <f t="shared" si="3"/>
        <v>987.40322580645159</v>
      </c>
      <c r="L24" s="29" t="s">
        <v>41</v>
      </c>
      <c r="M24" s="30">
        <f t="shared" si="4"/>
        <v>0</v>
      </c>
      <c r="N24" s="31" t="s">
        <v>40</v>
      </c>
      <c r="O24" s="32">
        <f t="shared" si="5"/>
        <v>306.09500000000003</v>
      </c>
      <c r="P24" s="33">
        <f t="shared" si="6"/>
        <v>2515.4603403438969</v>
      </c>
    </row>
    <row r="25" spans="1:16" x14ac:dyDescent="0.2">
      <c r="A25" s="7">
        <v>9</v>
      </c>
      <c r="B25" s="7" t="s">
        <v>56</v>
      </c>
      <c r="C25" s="20" t="s">
        <v>51</v>
      </c>
      <c r="D25" s="21" t="s">
        <v>39</v>
      </c>
      <c r="E25" s="22">
        <f>COUNTIFS(Ricercatori!$E$5:$E$62,B25,Ricercatori!$D$5:$D$62,"no")</f>
        <v>1</v>
      </c>
      <c r="F25" s="23" t="s">
        <v>40</v>
      </c>
      <c r="G25" s="24">
        <f t="shared" si="1"/>
        <v>844.40000000000009</v>
      </c>
      <c r="H25" s="25">
        <v>0.7</v>
      </c>
      <c r="I25" s="26">
        <f t="shared" si="2"/>
        <v>377.5621145374451</v>
      </c>
      <c r="J25" s="27" t="s">
        <v>40</v>
      </c>
      <c r="K25" s="28">
        <f t="shared" si="3"/>
        <v>987.40322580645159</v>
      </c>
      <c r="L25" s="29" t="s">
        <v>41</v>
      </c>
      <c r="M25" s="30">
        <f t="shared" si="4"/>
        <v>0</v>
      </c>
      <c r="N25" s="31" t="s">
        <v>40</v>
      </c>
      <c r="O25" s="32">
        <f t="shared" si="5"/>
        <v>306.09500000000003</v>
      </c>
      <c r="P25" s="33">
        <f t="shared" si="6"/>
        <v>2515.4603403438969</v>
      </c>
    </row>
    <row r="26" spans="1:16" x14ac:dyDescent="0.2">
      <c r="A26" s="7">
        <v>10</v>
      </c>
      <c r="B26" s="7" t="s">
        <v>57</v>
      </c>
      <c r="C26" s="20" t="s">
        <v>58</v>
      </c>
      <c r="D26" s="21" t="s">
        <v>39</v>
      </c>
      <c r="E26" s="22">
        <f>COUNTIFS(Ricercatori!$E$5:$E$62,B26,Ricercatori!$D$5:$D$62,"no")</f>
        <v>1</v>
      </c>
      <c r="F26" s="23" t="s">
        <v>40</v>
      </c>
      <c r="G26" s="24">
        <f t="shared" si="1"/>
        <v>844.40000000000009</v>
      </c>
      <c r="H26" s="25">
        <v>1</v>
      </c>
      <c r="I26" s="26">
        <f t="shared" si="2"/>
        <v>539.37444933920733</v>
      </c>
      <c r="J26" s="27" t="s">
        <v>40</v>
      </c>
      <c r="K26" s="28">
        <f t="shared" si="3"/>
        <v>987.40322580645159</v>
      </c>
      <c r="L26" s="29" t="s">
        <v>41</v>
      </c>
      <c r="M26" s="30">
        <f t="shared" si="4"/>
        <v>0</v>
      </c>
      <c r="N26" s="31" t="s">
        <v>40</v>
      </c>
      <c r="O26" s="32">
        <f t="shared" si="5"/>
        <v>306.09500000000003</v>
      </c>
      <c r="P26" s="33">
        <f t="shared" si="6"/>
        <v>2677.2726751456594</v>
      </c>
    </row>
    <row r="27" spans="1:16" x14ac:dyDescent="0.2">
      <c r="A27" s="7">
        <v>11</v>
      </c>
      <c r="B27" s="7" t="s">
        <v>59</v>
      </c>
      <c r="C27" s="20" t="s">
        <v>60</v>
      </c>
      <c r="D27" s="21" t="s">
        <v>39</v>
      </c>
      <c r="E27" s="22">
        <f>COUNTIFS(Ricercatori!$E$5:$E$62,B27,Ricercatori!$D$5:$D$62,"no")</f>
        <v>2</v>
      </c>
      <c r="F27" s="23" t="s">
        <v>40</v>
      </c>
      <c r="G27" s="24">
        <f t="shared" si="1"/>
        <v>1688.8000000000002</v>
      </c>
      <c r="H27" s="25">
        <v>0.7</v>
      </c>
      <c r="I27" s="26">
        <f t="shared" si="2"/>
        <v>377.5621145374451</v>
      </c>
      <c r="J27" s="27" t="s">
        <v>40</v>
      </c>
      <c r="K27" s="28">
        <f t="shared" si="3"/>
        <v>987.40322580645159</v>
      </c>
      <c r="L27" s="29" t="s">
        <v>40</v>
      </c>
      <c r="M27" s="30">
        <f t="shared" si="4"/>
        <v>765.23750000000007</v>
      </c>
      <c r="N27" s="31" t="s">
        <v>40</v>
      </c>
      <c r="O27" s="32">
        <f t="shared" si="5"/>
        <v>306.09500000000003</v>
      </c>
      <c r="P27" s="33">
        <f t="shared" si="6"/>
        <v>4125.0978403438976</v>
      </c>
    </row>
    <row r="28" spans="1:16" x14ac:dyDescent="0.2">
      <c r="A28" s="7">
        <v>12</v>
      </c>
      <c r="B28" s="7" t="s">
        <v>61</v>
      </c>
      <c r="C28" s="20" t="s">
        <v>51</v>
      </c>
      <c r="D28" s="21" t="s">
        <v>39</v>
      </c>
      <c r="E28" s="22">
        <f>COUNTIFS(Ricercatori!$E$5:$E$62,B28,Ricercatori!$D$5:$D$62,"no")</f>
        <v>1</v>
      </c>
      <c r="F28" s="23" t="s">
        <v>40</v>
      </c>
      <c r="G28" s="24">
        <f t="shared" si="1"/>
        <v>844.40000000000009</v>
      </c>
      <c r="H28" s="25">
        <v>0.7</v>
      </c>
      <c r="I28" s="26">
        <f t="shared" si="2"/>
        <v>377.5621145374451</v>
      </c>
      <c r="J28" s="27" t="s">
        <v>40</v>
      </c>
      <c r="K28" s="28">
        <f t="shared" si="3"/>
        <v>987.40322580645159</v>
      </c>
      <c r="L28" s="29" t="s">
        <v>41</v>
      </c>
      <c r="M28" s="30">
        <f t="shared" si="4"/>
        <v>0</v>
      </c>
      <c r="N28" s="31" t="s">
        <v>40</v>
      </c>
      <c r="O28" s="32">
        <f t="shared" si="5"/>
        <v>306.09500000000003</v>
      </c>
      <c r="P28" s="33">
        <f t="shared" si="6"/>
        <v>2515.4603403438969</v>
      </c>
    </row>
    <row r="29" spans="1:16" x14ac:dyDescent="0.2">
      <c r="A29" s="7">
        <v>13</v>
      </c>
      <c r="B29" s="7" t="s">
        <v>62</v>
      </c>
      <c r="C29" s="20" t="s">
        <v>63</v>
      </c>
      <c r="D29" s="21" t="s">
        <v>39</v>
      </c>
      <c r="E29" s="22">
        <f>COUNTIFS(Ricercatori!$E$5:$E$62,B29,Ricercatori!$D$5:$D$62,"no")</f>
        <v>1</v>
      </c>
      <c r="F29" s="23" t="s">
        <v>40</v>
      </c>
      <c r="G29" s="24">
        <f t="shared" si="1"/>
        <v>844.40000000000009</v>
      </c>
      <c r="H29" s="25">
        <v>0.4</v>
      </c>
      <c r="I29" s="26">
        <f t="shared" si="2"/>
        <v>215.74977973568295</v>
      </c>
      <c r="J29" s="27" t="s">
        <v>40</v>
      </c>
      <c r="K29" s="28">
        <f t="shared" si="3"/>
        <v>987.40322580645159</v>
      </c>
      <c r="L29" s="29" t="s">
        <v>40</v>
      </c>
      <c r="M29" s="30">
        <f t="shared" si="4"/>
        <v>765.23750000000007</v>
      </c>
      <c r="N29" s="31" t="s">
        <v>41</v>
      </c>
      <c r="O29" s="32">
        <f t="shared" si="5"/>
        <v>0</v>
      </c>
      <c r="P29" s="33">
        <f t="shared" si="6"/>
        <v>2812.7905055421347</v>
      </c>
    </row>
    <row r="30" spans="1:16" x14ac:dyDescent="0.2">
      <c r="A30" s="7">
        <v>14</v>
      </c>
      <c r="B30" s="7" t="s">
        <v>64</v>
      </c>
      <c r="C30" s="20" t="s">
        <v>65</v>
      </c>
      <c r="D30" s="21" t="s">
        <v>39</v>
      </c>
      <c r="E30" s="22">
        <f>COUNTIFS(Ricercatori!$E$5:$E$62,B30,Ricercatori!$D$5:$D$62,"no")</f>
        <v>1</v>
      </c>
      <c r="F30" s="23" t="s">
        <v>40</v>
      </c>
      <c r="G30" s="24">
        <f t="shared" si="1"/>
        <v>844.40000000000009</v>
      </c>
      <c r="H30" s="25">
        <v>0.7</v>
      </c>
      <c r="I30" s="26">
        <f t="shared" si="2"/>
        <v>377.5621145374451</v>
      </c>
      <c r="J30" s="27" t="s">
        <v>40</v>
      </c>
      <c r="K30" s="28">
        <f t="shared" si="3"/>
        <v>987.40322580645159</v>
      </c>
      <c r="L30" s="29" t="s">
        <v>40</v>
      </c>
      <c r="M30" s="30">
        <f t="shared" si="4"/>
        <v>765.23750000000007</v>
      </c>
      <c r="N30" s="31" t="s">
        <v>41</v>
      </c>
      <c r="O30" s="32">
        <f t="shared" si="5"/>
        <v>0</v>
      </c>
      <c r="P30" s="33">
        <f t="shared" si="6"/>
        <v>2974.6028403438968</v>
      </c>
    </row>
    <row r="31" spans="1:16" x14ac:dyDescent="0.2">
      <c r="A31" s="7">
        <v>15</v>
      </c>
      <c r="B31" s="7" t="s">
        <v>66</v>
      </c>
      <c r="C31" s="20" t="s">
        <v>67</v>
      </c>
      <c r="D31" s="21" t="s">
        <v>39</v>
      </c>
      <c r="E31" s="22">
        <f>COUNTIFS(Ricercatori!$E$5:$E$62,B31,Ricercatori!$D$5:$D$62,"no")</f>
        <v>3</v>
      </c>
      <c r="F31" s="23" t="s">
        <v>40</v>
      </c>
      <c r="G31" s="24">
        <f t="shared" si="1"/>
        <v>2533.2000000000003</v>
      </c>
      <c r="H31" s="25">
        <v>0.7</v>
      </c>
      <c r="I31" s="26">
        <f t="shared" si="2"/>
        <v>377.5621145374451</v>
      </c>
      <c r="J31" s="27" t="s">
        <v>40</v>
      </c>
      <c r="K31" s="28">
        <f t="shared" si="3"/>
        <v>987.40322580645159</v>
      </c>
      <c r="L31" s="29" t="s">
        <v>40</v>
      </c>
      <c r="M31" s="30">
        <f t="shared" si="4"/>
        <v>765.23750000000007</v>
      </c>
      <c r="N31" s="31" t="s">
        <v>40</v>
      </c>
      <c r="O31" s="32">
        <f t="shared" si="5"/>
        <v>306.09500000000003</v>
      </c>
      <c r="P31" s="33">
        <f t="shared" si="6"/>
        <v>4969.4978403438972</v>
      </c>
    </row>
    <row r="32" spans="1:16" ht="26" x14ac:dyDescent="0.2">
      <c r="A32" s="7">
        <v>16</v>
      </c>
      <c r="B32" s="7" t="s">
        <v>68</v>
      </c>
      <c r="C32" s="20" t="s">
        <v>69</v>
      </c>
      <c r="D32" s="21" t="s">
        <v>39</v>
      </c>
      <c r="E32" s="22">
        <f>COUNTIFS(Ricercatori!$E$5:$E$62,B32,Ricercatori!$D$5:$D$62,"no")</f>
        <v>5</v>
      </c>
      <c r="F32" s="23" t="s">
        <v>40</v>
      </c>
      <c r="G32" s="24">
        <f t="shared" si="1"/>
        <v>4222</v>
      </c>
      <c r="H32" s="25">
        <v>0.7</v>
      </c>
      <c r="I32" s="26">
        <f t="shared" si="2"/>
        <v>377.5621145374451</v>
      </c>
      <c r="J32" s="27" t="s">
        <v>40</v>
      </c>
      <c r="K32" s="28">
        <f t="shared" si="3"/>
        <v>987.40322580645159</v>
      </c>
      <c r="L32" s="29" t="s">
        <v>40</v>
      </c>
      <c r="M32" s="30">
        <f t="shared" si="4"/>
        <v>765.23750000000007</v>
      </c>
      <c r="N32" s="31" t="s">
        <v>40</v>
      </c>
      <c r="O32" s="32">
        <f t="shared" si="5"/>
        <v>306.09500000000003</v>
      </c>
      <c r="P32" s="33">
        <f t="shared" si="6"/>
        <v>6658.2978403438974</v>
      </c>
    </row>
    <row r="33" spans="1:16" x14ac:dyDescent="0.2">
      <c r="A33" s="7">
        <v>17</v>
      </c>
      <c r="B33" s="7" t="s">
        <v>70</v>
      </c>
      <c r="C33" s="20" t="s">
        <v>71</v>
      </c>
      <c r="D33" s="21" t="s">
        <v>39</v>
      </c>
      <c r="E33" s="22">
        <f>COUNTIFS(Ricercatori!$E$5:$E$62,B33,Ricercatori!$D$5:$D$62,"no")</f>
        <v>2</v>
      </c>
      <c r="F33" s="23" t="s">
        <v>40</v>
      </c>
      <c r="G33" s="24">
        <f t="shared" si="1"/>
        <v>1688.8000000000002</v>
      </c>
      <c r="H33" s="25">
        <v>0.7</v>
      </c>
      <c r="I33" s="26">
        <f t="shared" si="2"/>
        <v>377.5621145374451</v>
      </c>
      <c r="J33" s="27" t="s">
        <v>40</v>
      </c>
      <c r="K33" s="28">
        <f t="shared" si="3"/>
        <v>987.40322580645159</v>
      </c>
      <c r="L33" s="29" t="s">
        <v>40</v>
      </c>
      <c r="M33" s="30">
        <f t="shared" si="4"/>
        <v>765.23750000000007</v>
      </c>
      <c r="N33" s="31" t="s">
        <v>41</v>
      </c>
      <c r="O33" s="32">
        <f t="shared" si="5"/>
        <v>0</v>
      </c>
      <c r="P33" s="33">
        <f t="shared" si="6"/>
        <v>3819.0028403438973</v>
      </c>
    </row>
    <row r="34" spans="1:16" x14ac:dyDescent="0.2">
      <c r="A34" s="7">
        <v>18</v>
      </c>
      <c r="B34" s="7" t="s">
        <v>72</v>
      </c>
      <c r="C34" s="20" t="s">
        <v>73</v>
      </c>
      <c r="D34" s="21" t="s">
        <v>39</v>
      </c>
      <c r="E34" s="22">
        <f>COUNTIFS(Ricercatori!$E$5:$E$62,B34,Ricercatori!$D$5:$D$62,"no")</f>
        <v>2</v>
      </c>
      <c r="F34" s="23" t="s">
        <v>40</v>
      </c>
      <c r="G34" s="24">
        <f t="shared" si="1"/>
        <v>1688.8000000000002</v>
      </c>
      <c r="H34" s="25">
        <v>0.7</v>
      </c>
      <c r="I34" s="26">
        <f t="shared" si="2"/>
        <v>377.5621145374451</v>
      </c>
      <c r="J34" s="27" t="s">
        <v>40</v>
      </c>
      <c r="K34" s="28">
        <f t="shared" si="3"/>
        <v>987.40322580645159</v>
      </c>
      <c r="L34" s="29" t="s">
        <v>41</v>
      </c>
      <c r="M34" s="30">
        <f t="shared" si="4"/>
        <v>0</v>
      </c>
      <c r="N34" s="31" t="s">
        <v>40</v>
      </c>
      <c r="O34" s="32">
        <f t="shared" si="5"/>
        <v>306.09500000000003</v>
      </c>
      <c r="P34" s="33">
        <f t="shared" si="6"/>
        <v>3359.8603403438974</v>
      </c>
    </row>
    <row r="35" spans="1:16" x14ac:dyDescent="0.2">
      <c r="A35" s="7">
        <v>19</v>
      </c>
      <c r="B35" s="7" t="s">
        <v>74</v>
      </c>
      <c r="C35" s="20" t="s">
        <v>75</v>
      </c>
      <c r="D35" s="21" t="s">
        <v>39</v>
      </c>
      <c r="E35" s="22">
        <f>COUNTIFS(Ricercatori!$E$5:$E$62,B35,Ricercatori!$D$5:$D$62,"no")</f>
        <v>1</v>
      </c>
      <c r="F35" s="23" t="s">
        <v>40</v>
      </c>
      <c r="G35" s="24">
        <f t="shared" si="1"/>
        <v>844.40000000000009</v>
      </c>
      <c r="H35" s="25">
        <v>0.4</v>
      </c>
      <c r="I35" s="26">
        <f t="shared" si="2"/>
        <v>215.74977973568295</v>
      </c>
      <c r="J35" s="27" t="s">
        <v>40</v>
      </c>
      <c r="K35" s="28">
        <f t="shared" si="3"/>
        <v>987.40322580645159</v>
      </c>
      <c r="L35" s="29" t="s">
        <v>41</v>
      </c>
      <c r="M35" s="30">
        <f t="shared" si="4"/>
        <v>0</v>
      </c>
      <c r="N35" s="31" t="s">
        <v>41</v>
      </c>
      <c r="O35" s="32">
        <f t="shared" si="5"/>
        <v>0</v>
      </c>
      <c r="P35" s="33">
        <f t="shared" si="6"/>
        <v>2047.5530055421345</v>
      </c>
    </row>
    <row r="36" spans="1:16" x14ac:dyDescent="0.2">
      <c r="A36" s="7">
        <v>20</v>
      </c>
      <c r="B36" s="7" t="s">
        <v>76</v>
      </c>
      <c r="C36" s="20" t="s">
        <v>77</v>
      </c>
      <c r="D36" s="21" t="s">
        <v>39</v>
      </c>
      <c r="E36" s="22">
        <f>COUNTIFS(Ricercatori!$E$5:$E$62,B36,Ricercatori!$D$5:$D$62,"no")</f>
        <v>1</v>
      </c>
      <c r="F36" s="23" t="s">
        <v>40</v>
      </c>
      <c r="G36" s="24">
        <f t="shared" si="1"/>
        <v>844.40000000000009</v>
      </c>
      <c r="H36" s="25">
        <v>0.7</v>
      </c>
      <c r="I36" s="26">
        <f t="shared" si="2"/>
        <v>377.5621145374451</v>
      </c>
      <c r="J36" s="27" t="s">
        <v>40</v>
      </c>
      <c r="K36" s="28">
        <f t="shared" si="3"/>
        <v>987.40322580645159</v>
      </c>
      <c r="L36" s="29" t="s">
        <v>41</v>
      </c>
      <c r="M36" s="30">
        <f t="shared" si="4"/>
        <v>0</v>
      </c>
      <c r="N36" s="31" t="s">
        <v>41</v>
      </c>
      <c r="O36" s="32">
        <f t="shared" si="5"/>
        <v>0</v>
      </c>
      <c r="P36" s="33">
        <f t="shared" si="6"/>
        <v>2209.3653403438966</v>
      </c>
    </row>
    <row r="37" spans="1:16" ht="26" x14ac:dyDescent="0.2">
      <c r="A37" s="7">
        <v>21</v>
      </c>
      <c r="B37" s="7" t="s">
        <v>78</v>
      </c>
      <c r="C37" s="20" t="s">
        <v>79</v>
      </c>
      <c r="D37" s="21" t="s">
        <v>39</v>
      </c>
      <c r="E37" s="22">
        <f>COUNTIFS(Ricercatori!$E$5:$E$62,B37,Ricercatori!$D$5:$D$62,"no")</f>
        <v>4</v>
      </c>
      <c r="F37" s="23" t="s">
        <v>40</v>
      </c>
      <c r="G37" s="24">
        <f t="shared" si="1"/>
        <v>3377.6000000000004</v>
      </c>
      <c r="H37" s="25">
        <v>0.7</v>
      </c>
      <c r="I37" s="26">
        <f t="shared" si="2"/>
        <v>377.5621145374451</v>
      </c>
      <c r="J37" s="27" t="s">
        <v>40</v>
      </c>
      <c r="K37" s="28">
        <f t="shared" si="3"/>
        <v>987.40322580645159</v>
      </c>
      <c r="L37" s="29" t="s">
        <v>40</v>
      </c>
      <c r="M37" s="30">
        <f t="shared" si="4"/>
        <v>765.23750000000007</v>
      </c>
      <c r="N37" s="31" t="s">
        <v>40</v>
      </c>
      <c r="O37" s="32">
        <f t="shared" si="5"/>
        <v>306.09500000000003</v>
      </c>
      <c r="P37" s="33">
        <f t="shared" si="6"/>
        <v>5813.8978403438978</v>
      </c>
    </row>
    <row r="38" spans="1:16" x14ac:dyDescent="0.2">
      <c r="A38" s="7">
        <v>22</v>
      </c>
      <c r="B38" s="7" t="s">
        <v>80</v>
      </c>
      <c r="C38" s="20" t="s">
        <v>81</v>
      </c>
      <c r="D38" s="21" t="s">
        <v>39</v>
      </c>
      <c r="E38" s="22">
        <f>COUNTIFS(Ricercatori!$E$5:$E$62,B38,Ricercatori!$D$5:$D$62,"no")</f>
        <v>4</v>
      </c>
      <c r="F38" s="23" t="s">
        <v>40</v>
      </c>
      <c r="G38" s="24">
        <f t="shared" si="1"/>
        <v>3377.6000000000004</v>
      </c>
      <c r="H38" s="25">
        <v>0.7</v>
      </c>
      <c r="I38" s="26">
        <f t="shared" si="2"/>
        <v>377.5621145374451</v>
      </c>
      <c r="J38" s="27" t="s">
        <v>40</v>
      </c>
      <c r="K38" s="28">
        <f t="shared" si="3"/>
        <v>987.40322580645159</v>
      </c>
      <c r="L38" s="29" t="s">
        <v>40</v>
      </c>
      <c r="M38" s="30">
        <f t="shared" si="4"/>
        <v>765.23750000000007</v>
      </c>
      <c r="N38" s="31" t="s">
        <v>40</v>
      </c>
      <c r="O38" s="32">
        <f t="shared" si="5"/>
        <v>306.09500000000003</v>
      </c>
      <c r="P38" s="33">
        <f t="shared" si="6"/>
        <v>5813.8978403438978</v>
      </c>
    </row>
    <row r="39" spans="1:16" ht="26" x14ac:dyDescent="0.2">
      <c r="A39" s="7">
        <v>23</v>
      </c>
      <c r="B39" s="7" t="s">
        <v>82</v>
      </c>
      <c r="C39" s="20" t="s">
        <v>83</v>
      </c>
      <c r="D39" s="21" t="s">
        <v>39</v>
      </c>
      <c r="E39" s="22">
        <f>COUNTIFS(Ricercatori!$E$5:$E$62,B39,Ricercatori!$D$5:$D$62,"no")</f>
        <v>1</v>
      </c>
      <c r="F39" s="23" t="s">
        <v>40</v>
      </c>
      <c r="G39" s="24">
        <f t="shared" si="1"/>
        <v>844.40000000000009</v>
      </c>
      <c r="H39" s="25">
        <v>0.7</v>
      </c>
      <c r="I39" s="26">
        <f t="shared" si="2"/>
        <v>377.5621145374451</v>
      </c>
      <c r="J39" s="27" t="s">
        <v>40</v>
      </c>
      <c r="K39" s="28">
        <f t="shared" si="3"/>
        <v>987.40322580645159</v>
      </c>
      <c r="L39" s="29" t="s">
        <v>40</v>
      </c>
      <c r="M39" s="30">
        <f t="shared" si="4"/>
        <v>765.23750000000007</v>
      </c>
      <c r="N39" s="31" t="s">
        <v>40</v>
      </c>
      <c r="O39" s="32">
        <f t="shared" si="5"/>
        <v>306.09500000000003</v>
      </c>
      <c r="P39" s="33">
        <f t="shared" si="6"/>
        <v>3280.697840343897</v>
      </c>
    </row>
    <row r="40" spans="1:16" x14ac:dyDescent="0.2">
      <c r="A40" s="7">
        <v>24</v>
      </c>
      <c r="B40" s="7" t="s">
        <v>84</v>
      </c>
      <c r="C40" s="20" t="s">
        <v>85</v>
      </c>
      <c r="D40" s="21" t="s">
        <v>39</v>
      </c>
      <c r="E40" s="22">
        <f>COUNTIFS(Ricercatori!$E$5:$E$62,B40,Ricercatori!$D$5:$D$62,"no")</f>
        <v>1</v>
      </c>
      <c r="F40" s="23" t="s">
        <v>40</v>
      </c>
      <c r="G40" s="24">
        <f t="shared" si="1"/>
        <v>844.40000000000009</v>
      </c>
      <c r="H40" s="25">
        <v>0.4</v>
      </c>
      <c r="I40" s="26">
        <f t="shared" si="2"/>
        <v>215.74977973568295</v>
      </c>
      <c r="J40" s="27" t="s">
        <v>41</v>
      </c>
      <c r="K40" s="28">
        <f t="shared" si="3"/>
        <v>0</v>
      </c>
      <c r="L40" s="29" t="s">
        <v>40</v>
      </c>
      <c r="M40" s="30">
        <f t="shared" si="4"/>
        <v>765.23750000000007</v>
      </c>
      <c r="N40" s="31" t="s">
        <v>41</v>
      </c>
      <c r="O40" s="32">
        <f t="shared" si="5"/>
        <v>0</v>
      </c>
      <c r="P40" s="33">
        <f t="shared" si="6"/>
        <v>1825.387279735683</v>
      </c>
    </row>
    <row r="41" spans="1:16" x14ac:dyDescent="0.2">
      <c r="A41" s="7">
        <v>25</v>
      </c>
      <c r="B41" s="7" t="s">
        <v>86</v>
      </c>
      <c r="C41" s="20" t="s">
        <v>87</v>
      </c>
      <c r="D41" s="21" t="s">
        <v>39</v>
      </c>
      <c r="E41" s="22">
        <f>COUNTIFS(Ricercatori!$E$5:$E$62,B41,Ricercatori!$D$5:$D$62,"no")</f>
        <v>1</v>
      </c>
      <c r="F41" s="23" t="s">
        <v>40</v>
      </c>
      <c r="G41" s="24">
        <f t="shared" si="1"/>
        <v>844.40000000000009</v>
      </c>
      <c r="H41" s="25">
        <v>1</v>
      </c>
      <c r="I41" s="26">
        <f t="shared" si="2"/>
        <v>539.37444933920733</v>
      </c>
      <c r="J41" s="27" t="s">
        <v>40</v>
      </c>
      <c r="K41" s="28">
        <f t="shared" si="3"/>
        <v>987.40322580645159</v>
      </c>
      <c r="L41" s="29" t="s">
        <v>41</v>
      </c>
      <c r="M41" s="30">
        <f t="shared" si="4"/>
        <v>0</v>
      </c>
      <c r="N41" s="31" t="s">
        <v>41</v>
      </c>
      <c r="O41" s="32">
        <f t="shared" si="5"/>
        <v>0</v>
      </c>
      <c r="P41" s="33">
        <f t="shared" si="6"/>
        <v>2371.1776751456591</v>
      </c>
    </row>
    <row r="42" spans="1:16" x14ac:dyDescent="0.2">
      <c r="A42" s="7">
        <v>26</v>
      </c>
      <c r="B42" s="7" t="s">
        <v>88</v>
      </c>
      <c r="C42" s="20" t="s">
        <v>89</v>
      </c>
      <c r="D42" s="21" t="s">
        <v>39</v>
      </c>
      <c r="E42" s="22">
        <f>COUNTIFS(Ricercatori!$E$5:$E$62,B42,Ricercatori!$D$5:$D$62,"no")</f>
        <v>4</v>
      </c>
      <c r="F42" s="23" t="s">
        <v>40</v>
      </c>
      <c r="G42" s="24">
        <f t="shared" si="1"/>
        <v>3377.6000000000004</v>
      </c>
      <c r="H42" s="25">
        <v>0.7</v>
      </c>
      <c r="I42" s="26">
        <f t="shared" si="2"/>
        <v>377.5621145374451</v>
      </c>
      <c r="J42" s="27" t="s">
        <v>40</v>
      </c>
      <c r="K42" s="28">
        <f t="shared" si="3"/>
        <v>987.40322580645159</v>
      </c>
      <c r="L42" s="29" t="s">
        <v>40</v>
      </c>
      <c r="M42" s="30">
        <f t="shared" si="4"/>
        <v>765.23750000000007</v>
      </c>
      <c r="N42" s="31" t="s">
        <v>40</v>
      </c>
      <c r="O42" s="32">
        <f t="shared" si="5"/>
        <v>306.09500000000003</v>
      </c>
      <c r="P42" s="33">
        <f t="shared" si="6"/>
        <v>5813.8978403438978</v>
      </c>
    </row>
    <row r="43" spans="1:16" x14ac:dyDescent="0.2">
      <c r="A43" s="7">
        <v>27</v>
      </c>
      <c r="B43" s="7" t="s">
        <v>90</v>
      </c>
      <c r="C43" s="20" t="s">
        <v>53</v>
      </c>
      <c r="D43" s="21" t="s">
        <v>39</v>
      </c>
      <c r="E43" s="22">
        <f>COUNTIFS(Ricercatori!$E$5:$E$62,B43,Ricercatori!$D$5:$D$62,"no")</f>
        <v>1</v>
      </c>
      <c r="F43" s="23" t="s">
        <v>40</v>
      </c>
      <c r="G43" s="24">
        <f t="shared" si="1"/>
        <v>844.40000000000009</v>
      </c>
      <c r="H43" s="25">
        <v>0.7</v>
      </c>
      <c r="I43" s="26">
        <f t="shared" si="2"/>
        <v>377.5621145374451</v>
      </c>
      <c r="J43" s="27" t="s">
        <v>40</v>
      </c>
      <c r="K43" s="28">
        <f t="shared" si="3"/>
        <v>987.40322580645159</v>
      </c>
      <c r="L43" s="29" t="s">
        <v>41</v>
      </c>
      <c r="M43" s="30">
        <f t="shared" si="4"/>
        <v>0</v>
      </c>
      <c r="N43" s="31" t="s">
        <v>40</v>
      </c>
      <c r="O43" s="32">
        <f t="shared" si="5"/>
        <v>306.09500000000003</v>
      </c>
      <c r="P43" s="33">
        <f t="shared" si="6"/>
        <v>2515.4603403438969</v>
      </c>
    </row>
    <row r="44" spans="1:16" x14ac:dyDescent="0.2">
      <c r="A44" s="7">
        <v>28</v>
      </c>
      <c r="B44" s="7" t="s">
        <v>91</v>
      </c>
      <c r="C44" s="20" t="s">
        <v>53</v>
      </c>
      <c r="D44" s="21" t="s">
        <v>39</v>
      </c>
      <c r="E44" s="22">
        <f>COUNTIFS(Ricercatori!$E$5:$E$62,B44,Ricercatori!$D$5:$D$62,"no")</f>
        <v>1</v>
      </c>
      <c r="F44" s="23" t="s">
        <v>40</v>
      </c>
      <c r="G44" s="24">
        <f t="shared" si="1"/>
        <v>844.40000000000009</v>
      </c>
      <c r="H44" s="25">
        <v>0.7</v>
      </c>
      <c r="I44" s="26">
        <f t="shared" si="2"/>
        <v>377.5621145374451</v>
      </c>
      <c r="J44" s="27" t="s">
        <v>40</v>
      </c>
      <c r="K44" s="28">
        <f t="shared" si="3"/>
        <v>987.40322580645159</v>
      </c>
      <c r="L44" s="29" t="s">
        <v>41</v>
      </c>
      <c r="M44" s="30">
        <f t="shared" si="4"/>
        <v>0</v>
      </c>
      <c r="N44" s="31" t="s">
        <v>40</v>
      </c>
      <c r="O44" s="32">
        <f t="shared" si="5"/>
        <v>306.09500000000003</v>
      </c>
      <c r="P44" s="33">
        <f t="shared" si="6"/>
        <v>2515.4603403438969</v>
      </c>
    </row>
    <row r="45" spans="1:16" ht="26" x14ac:dyDescent="0.2">
      <c r="A45" s="7">
        <v>29</v>
      </c>
      <c r="B45" s="7" t="s">
        <v>92</v>
      </c>
      <c r="C45" s="20" t="s">
        <v>93</v>
      </c>
      <c r="D45" s="21" t="s">
        <v>39</v>
      </c>
      <c r="E45" s="22">
        <f>COUNTIFS(Ricercatori!$E$5:$E$62,B45,Ricercatori!$D$5:$D$62,"no")</f>
        <v>4</v>
      </c>
      <c r="F45" s="23" t="s">
        <v>40</v>
      </c>
      <c r="G45" s="24">
        <f t="shared" si="1"/>
        <v>3377.6000000000004</v>
      </c>
      <c r="H45" s="25">
        <v>0.7</v>
      </c>
      <c r="I45" s="26">
        <f t="shared" si="2"/>
        <v>377.5621145374451</v>
      </c>
      <c r="J45" s="27" t="s">
        <v>40</v>
      </c>
      <c r="K45" s="28">
        <f t="shared" si="3"/>
        <v>987.40322580645159</v>
      </c>
      <c r="L45" s="29" t="s">
        <v>40</v>
      </c>
      <c r="M45" s="30">
        <f t="shared" si="4"/>
        <v>765.23750000000007</v>
      </c>
      <c r="N45" s="31" t="s">
        <v>40</v>
      </c>
      <c r="O45" s="32">
        <f t="shared" si="5"/>
        <v>306.09500000000003</v>
      </c>
      <c r="P45" s="33">
        <f t="shared" si="6"/>
        <v>5813.8978403438978</v>
      </c>
    </row>
    <row r="46" spans="1:16" x14ac:dyDescent="0.2">
      <c r="A46" s="7">
        <v>30</v>
      </c>
      <c r="B46" s="7" t="s">
        <v>94</v>
      </c>
      <c r="C46" s="20" t="s">
        <v>95</v>
      </c>
      <c r="D46" s="21" t="s">
        <v>39</v>
      </c>
      <c r="E46" s="22">
        <f>COUNTIFS(Ricercatori!$E$5:$E$62,B46,Ricercatori!$D$5:$D$62,"no")</f>
        <v>1</v>
      </c>
      <c r="F46" s="23" t="s">
        <v>40</v>
      </c>
      <c r="G46" s="24">
        <f t="shared" si="1"/>
        <v>844.40000000000009</v>
      </c>
      <c r="H46" s="25">
        <v>0.7</v>
      </c>
      <c r="I46" s="26">
        <f t="shared" si="2"/>
        <v>377.5621145374451</v>
      </c>
      <c r="J46" s="27" t="s">
        <v>40</v>
      </c>
      <c r="K46" s="28">
        <f t="shared" si="3"/>
        <v>987.40322580645159</v>
      </c>
      <c r="L46" s="29" t="s">
        <v>40</v>
      </c>
      <c r="M46" s="30">
        <f t="shared" si="4"/>
        <v>765.23750000000007</v>
      </c>
      <c r="N46" s="31" t="s">
        <v>41</v>
      </c>
      <c r="O46" s="32">
        <f t="shared" si="5"/>
        <v>0</v>
      </c>
      <c r="P46" s="33">
        <f t="shared" si="6"/>
        <v>2974.6028403438968</v>
      </c>
    </row>
    <row r="47" spans="1:16" x14ac:dyDescent="0.2">
      <c r="A47" s="7">
        <v>31</v>
      </c>
      <c r="B47" s="7" t="s">
        <v>96</v>
      </c>
      <c r="C47" s="20" t="s">
        <v>38</v>
      </c>
      <c r="D47" s="21" t="s">
        <v>10</v>
      </c>
      <c r="E47" s="22">
        <f>COUNTIFS(Ricercatori!$E$5:$E$62,B47,Ricercatori!$D$5:$D$62,"no")</f>
        <v>1</v>
      </c>
      <c r="F47" s="23" t="s">
        <v>40</v>
      </c>
      <c r="G47" s="24">
        <f t="shared" si="1"/>
        <v>844.40000000000009</v>
      </c>
      <c r="H47" s="25">
        <v>1</v>
      </c>
      <c r="I47" s="26">
        <f t="shared" si="2"/>
        <v>539.37444933920733</v>
      </c>
      <c r="J47" s="27" t="s">
        <v>40</v>
      </c>
      <c r="K47" s="28">
        <f t="shared" si="3"/>
        <v>987.40322580645159</v>
      </c>
      <c r="L47" s="29" t="s">
        <v>41</v>
      </c>
      <c r="M47" s="30">
        <f t="shared" si="4"/>
        <v>0</v>
      </c>
      <c r="N47" s="31" t="s">
        <v>40</v>
      </c>
      <c r="O47" s="32">
        <f t="shared" si="5"/>
        <v>306.09500000000003</v>
      </c>
      <c r="P47" s="33">
        <f t="shared" si="6"/>
        <v>2677.2726751456594</v>
      </c>
    </row>
    <row r="48" spans="1:16" x14ac:dyDescent="0.2">
      <c r="A48" s="7">
        <v>32</v>
      </c>
      <c r="B48" s="7" t="s">
        <v>97</v>
      </c>
      <c r="C48" s="20" t="s">
        <v>98</v>
      </c>
      <c r="D48" s="21" t="s">
        <v>10</v>
      </c>
      <c r="E48" s="22">
        <f>COUNTIFS(Ricercatori!$E$5:$E$62,B48,Ricercatori!$D$5:$D$62,"no")</f>
        <v>2</v>
      </c>
      <c r="F48" s="23" t="s">
        <v>40</v>
      </c>
      <c r="G48" s="24">
        <f t="shared" si="1"/>
        <v>1688.8000000000002</v>
      </c>
      <c r="H48" s="25">
        <v>0.7</v>
      </c>
      <c r="I48" s="26">
        <f t="shared" si="2"/>
        <v>377.5621145374451</v>
      </c>
      <c r="J48" s="27" t="s">
        <v>40</v>
      </c>
      <c r="K48" s="28">
        <f t="shared" si="3"/>
        <v>987.40322580645159</v>
      </c>
      <c r="L48" s="29" t="s">
        <v>40</v>
      </c>
      <c r="M48" s="30">
        <f t="shared" si="4"/>
        <v>765.23750000000007</v>
      </c>
      <c r="N48" s="31" t="s">
        <v>41</v>
      </c>
      <c r="O48" s="32">
        <f t="shared" si="5"/>
        <v>0</v>
      </c>
      <c r="P48" s="33">
        <f t="shared" si="6"/>
        <v>3819.0028403438973</v>
      </c>
    </row>
    <row r="49" spans="1:16" x14ac:dyDescent="0.2">
      <c r="A49" s="34"/>
      <c r="B49" s="34" t="s">
        <v>36</v>
      </c>
      <c r="C49" s="34"/>
      <c r="D49" s="34"/>
      <c r="E49" s="35">
        <f>SUM(E17:E48)</f>
        <v>58</v>
      </c>
      <c r="F49" s="34"/>
      <c r="G49" s="36">
        <f>SUM(G17:G48)</f>
        <v>48975.200000000004</v>
      </c>
      <c r="H49" s="34"/>
      <c r="I49" s="36">
        <f>SUM(I17:I48)</f>
        <v>12243.800000000003</v>
      </c>
      <c r="J49" s="34"/>
      <c r="K49" s="36">
        <f>SUM(K17:K48)</f>
        <v>30609.499999999982</v>
      </c>
      <c r="L49" s="34"/>
      <c r="M49" s="36">
        <f>SUM(M17:M48)</f>
        <v>12243.799999999997</v>
      </c>
      <c r="N49" s="34"/>
      <c r="O49" s="36">
        <f>SUM(O17:O48)</f>
        <v>6121.9000000000033</v>
      </c>
      <c r="P49" s="36">
        <f>SUM(P17:P48)</f>
        <v>110194.20000000003</v>
      </c>
    </row>
    <row r="51" spans="1:16" ht="16" x14ac:dyDescent="0.2">
      <c r="B51" s="37" t="s">
        <v>99</v>
      </c>
    </row>
    <row r="52" spans="1:16" x14ac:dyDescent="0.2">
      <c r="B52" s="49" t="s">
        <v>100</v>
      </c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7">
        <f>$E$8</f>
        <v>12243.800000000001</v>
      </c>
      <c r="O52" s="48"/>
      <c r="P52" s="48"/>
    </row>
    <row r="53" spans="1:16" x14ac:dyDescent="0.2">
      <c r="B53" s="49" t="s">
        <v>101</v>
      </c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7">
        <f>SUMIF($D$17:$D$48,"FARB DiSPaC",$P$17:$P$48)</f>
        <v>6496.2755154895567</v>
      </c>
      <c r="O53" s="48"/>
      <c r="P53" s="48"/>
    </row>
    <row r="54" spans="1:16" x14ac:dyDescent="0.2">
      <c r="B54" s="58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6">
        <f>N52+N53</f>
        <v>18740.07551548956</v>
      </c>
      <c r="O54" s="57"/>
      <c r="P54" s="57"/>
    </row>
    <row r="55" spans="1:16" x14ac:dyDescent="0.2">
      <c r="B55" s="49" t="s">
        <v>102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7">
        <f>SUMIF($D$17:$D$48,"Docente",$P$17:$P$48)</f>
        <v>103697.92448451047</v>
      </c>
      <c r="O55" s="48"/>
      <c r="P55" s="48"/>
    </row>
    <row r="56" spans="1:16" x14ac:dyDescent="0.2">
      <c r="B56" s="58" t="s">
        <v>103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>
        <f>N54+N55</f>
        <v>122438.00000000003</v>
      </c>
      <c r="O56" s="57"/>
      <c r="P56" s="57"/>
    </row>
    <row r="57" spans="1:16" x14ac:dyDescent="0.2">
      <c r="B57" s="49" t="s">
        <v>104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7">
        <f>ROUND(N56-$E$5,2)</f>
        <v>0</v>
      </c>
      <c r="O57" s="48"/>
      <c r="P57" s="48"/>
    </row>
    <row r="59" spans="1:16" x14ac:dyDescent="0.2">
      <c r="B59" s="2" t="s">
        <v>105</v>
      </c>
    </row>
  </sheetData>
  <mergeCells count="19">
    <mergeCell ref="N53:P53"/>
    <mergeCell ref="B56:M56"/>
    <mergeCell ref="B52:M52"/>
    <mergeCell ref="B7:C7"/>
    <mergeCell ref="N52:P52"/>
    <mergeCell ref="B57:M57"/>
    <mergeCell ref="B53:M53"/>
    <mergeCell ref="B12:C12"/>
    <mergeCell ref="N57:P57"/>
    <mergeCell ref="B11:C11"/>
    <mergeCell ref="B8:C8"/>
    <mergeCell ref="B55:M55"/>
    <mergeCell ref="B13:C13"/>
    <mergeCell ref="B10:C10"/>
    <mergeCell ref="N55:P55"/>
    <mergeCell ref="B9:C9"/>
    <mergeCell ref="N54:P54"/>
    <mergeCell ref="B54:M54"/>
    <mergeCell ref="N56:P56"/>
  </mergeCells>
  <conditionalFormatting sqref="A17:C48">
    <cfRule type="expression" dxfId="1" priority="1">
      <formula>$D17="FARB DiSPaC"</formula>
    </cfRule>
  </conditionalFormatting>
  <conditionalFormatting sqref="N57">
    <cfRule type="expression" dxfId="0" priority="2">
      <formula>N57&lt;&gt;0</formula>
    </cfRule>
  </conditionalFormatting>
  <dataValidations count="3">
    <dataValidation type="list" allowBlank="1" sqref="F17:F48 J17:J48 L17:L48 N17:N48" xr:uid="{00000000-0002-0000-0000-000000000000}">
      <formula1>"si,no"</formula1>
    </dataValidation>
    <dataValidation type="list" allowBlank="1" sqref="H17:H48" xr:uid="{00000000-0002-0000-0000-000001000000}">
      <formula1>"0.1,0.4,0.7,1"</formula1>
    </dataValidation>
    <dataValidation type="list" allowBlank="1" sqref="D17:D48" xr:uid="{00000000-0002-0000-0000-000002000000}">
      <formula1>"Docente,FARB DiSPaC"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5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.5" customWidth="1"/>
    <col min="2" max="2" width="16" customWidth="1"/>
    <col min="3" max="3" width="52" customWidth="1"/>
    <col min="4" max="4" width="8" customWidth="1"/>
    <col min="5" max="5" width="24" customWidth="1"/>
    <col min="6" max="6" width="12" customWidth="1"/>
    <col min="7" max="7" width="20" customWidth="1"/>
  </cols>
  <sheetData>
    <row r="1" spans="1:7" ht="18" x14ac:dyDescent="0.2">
      <c r="A1" s="38" t="s">
        <v>106</v>
      </c>
    </row>
    <row r="2" spans="1:7" x14ac:dyDescent="0.2">
      <c r="A2" s="3" t="s">
        <v>107</v>
      </c>
    </row>
    <row r="4" spans="1:7" ht="30" customHeight="1" x14ac:dyDescent="0.2">
      <c r="A4" s="15" t="s">
        <v>21</v>
      </c>
      <c r="B4" s="15" t="s">
        <v>108</v>
      </c>
      <c r="C4" s="15" t="s">
        <v>109</v>
      </c>
      <c r="D4" s="15" t="s">
        <v>110</v>
      </c>
      <c r="E4" s="15" t="s">
        <v>111</v>
      </c>
      <c r="F4" s="15" t="s">
        <v>27</v>
      </c>
      <c r="G4" s="15" t="s">
        <v>112</v>
      </c>
    </row>
    <row r="5" spans="1:7" x14ac:dyDescent="0.2">
      <c r="A5" s="7">
        <v>1</v>
      </c>
      <c r="B5" s="7" t="s">
        <v>37</v>
      </c>
      <c r="C5" s="39" t="s">
        <v>113</v>
      </c>
      <c r="D5" s="40" t="s">
        <v>41</v>
      </c>
      <c r="E5" s="41" t="s">
        <v>37</v>
      </c>
      <c r="F5" s="24">
        <f>IF(D5="no",'FARB 2026'!$G$9,0)</f>
        <v>844.40000000000009</v>
      </c>
      <c r="G5" s="42" t="str">
        <f>IF(COUNTIF('FARB 2026'!$B$17:$B$48,E5)=0,"⚠ progetto non trovato","")</f>
        <v/>
      </c>
    </row>
    <row r="6" spans="1:7" x14ac:dyDescent="0.2">
      <c r="A6" s="7">
        <v>2</v>
      </c>
      <c r="B6" s="43" t="s">
        <v>114</v>
      </c>
      <c r="C6" s="44" t="s">
        <v>115</v>
      </c>
      <c r="D6" s="40" t="s">
        <v>41</v>
      </c>
      <c r="E6" s="41" t="s">
        <v>42</v>
      </c>
      <c r="F6" s="24">
        <f>IF(D6="no",'FARB 2026'!$G$9,0)</f>
        <v>844.40000000000009</v>
      </c>
      <c r="G6" s="42" t="str">
        <f>IF(COUNTIF('FARB 2026'!$B$17:$B$48,E6)=0,"⚠ progetto non trovato","")</f>
        <v/>
      </c>
    </row>
    <row r="7" spans="1:7" x14ac:dyDescent="0.2">
      <c r="A7" s="7">
        <v>3</v>
      </c>
      <c r="B7" s="43" t="s">
        <v>94</v>
      </c>
      <c r="C7" s="44" t="s">
        <v>116</v>
      </c>
      <c r="D7" s="40" t="s">
        <v>41</v>
      </c>
      <c r="E7" s="41" t="s">
        <v>94</v>
      </c>
      <c r="F7" s="24">
        <f>IF(D7="no",'FARB 2026'!$G$9,0)</f>
        <v>844.40000000000009</v>
      </c>
      <c r="G7" s="42" t="str">
        <f>IF(COUNTIF('FARB 2026'!$B$17:$B$48,E7)=0,"⚠ progetto non trovato","")</f>
        <v/>
      </c>
    </row>
    <row r="8" spans="1:7" x14ac:dyDescent="0.2">
      <c r="A8" s="7">
        <v>4</v>
      </c>
      <c r="B8" s="43" t="s">
        <v>86</v>
      </c>
      <c r="C8" s="44" t="s">
        <v>117</v>
      </c>
      <c r="D8" s="40" t="s">
        <v>41</v>
      </c>
      <c r="E8" s="41" t="s">
        <v>86</v>
      </c>
      <c r="F8" s="24">
        <f>IF(D8="no",'FARB 2026'!$G$9,0)</f>
        <v>844.40000000000009</v>
      </c>
      <c r="G8" s="42" t="str">
        <f>IF(COUNTIF('FARB 2026'!$B$17:$B$48,E8)=0,"⚠ progetto non trovato","")</f>
        <v/>
      </c>
    </row>
    <row r="9" spans="1:7" x14ac:dyDescent="0.2">
      <c r="A9" s="7">
        <v>5</v>
      </c>
      <c r="B9" s="43" t="s">
        <v>44</v>
      </c>
      <c r="C9" s="44" t="s">
        <v>118</v>
      </c>
      <c r="D9" s="40" t="s">
        <v>41</v>
      </c>
      <c r="E9" s="41" t="s">
        <v>44</v>
      </c>
      <c r="F9" s="24">
        <f>IF(D9="no",'FARB 2026'!$G$9,0)</f>
        <v>844.40000000000009</v>
      </c>
      <c r="G9" s="42" t="str">
        <f>IF(COUNTIF('FARB 2026'!$B$17:$B$48,E9)=0,"⚠ progetto non trovato","")</f>
        <v/>
      </c>
    </row>
    <row r="10" spans="1:7" x14ac:dyDescent="0.2">
      <c r="A10" s="7">
        <v>6</v>
      </c>
      <c r="B10" s="43" t="s">
        <v>70</v>
      </c>
      <c r="C10" s="44" t="s">
        <v>119</v>
      </c>
      <c r="D10" s="40" t="s">
        <v>41</v>
      </c>
      <c r="E10" s="41" t="s">
        <v>70</v>
      </c>
      <c r="F10" s="24">
        <f>IF(D10="no",'FARB 2026'!$G$9,0)</f>
        <v>844.40000000000009</v>
      </c>
      <c r="G10" s="42" t="str">
        <f>IF(COUNTIF('FARB 2026'!$B$17:$B$48,E10)=0,"⚠ progetto non trovato","")</f>
        <v/>
      </c>
    </row>
    <row r="11" spans="1:7" x14ac:dyDescent="0.2">
      <c r="A11" s="7">
        <v>7</v>
      </c>
      <c r="B11" s="43" t="s">
        <v>46</v>
      </c>
      <c r="C11" s="44" t="s">
        <v>120</v>
      </c>
      <c r="D11" s="40" t="s">
        <v>41</v>
      </c>
      <c r="E11" s="41" t="s">
        <v>46</v>
      </c>
      <c r="F11" s="24">
        <f>IF(D11="no",'FARB 2026'!$G$9,0)</f>
        <v>844.40000000000009</v>
      </c>
      <c r="G11" s="42" t="str">
        <f>IF(COUNTIF('FARB 2026'!$B$17:$B$48,E11)=0,"⚠ progetto non trovato","")</f>
        <v/>
      </c>
    </row>
    <row r="12" spans="1:7" x14ac:dyDescent="0.2">
      <c r="A12" s="7">
        <v>8</v>
      </c>
      <c r="B12" s="7" t="s">
        <v>48</v>
      </c>
      <c r="C12" s="39" t="s">
        <v>121</v>
      </c>
      <c r="D12" s="40" t="s">
        <v>41</v>
      </c>
      <c r="E12" s="41" t="s">
        <v>48</v>
      </c>
      <c r="F12" s="24">
        <f>IF(D12="no",'FARB 2026'!$G$9,0)</f>
        <v>844.40000000000009</v>
      </c>
      <c r="G12" s="42" t="str">
        <f>IF(COUNTIF('FARB 2026'!$B$17:$B$48,E12)=0,"⚠ progetto non trovato","")</f>
        <v/>
      </c>
    </row>
    <row r="13" spans="1:7" x14ac:dyDescent="0.2">
      <c r="A13" s="7">
        <v>9</v>
      </c>
      <c r="B13" s="7" t="s">
        <v>122</v>
      </c>
      <c r="C13" s="39" t="s">
        <v>123</v>
      </c>
      <c r="D13" s="40" t="s">
        <v>41</v>
      </c>
      <c r="E13" s="41" t="s">
        <v>48</v>
      </c>
      <c r="F13" s="24">
        <f>IF(D13="no",'FARB 2026'!$G$9,0)</f>
        <v>844.40000000000009</v>
      </c>
      <c r="G13" s="42" t="str">
        <f>IF(COUNTIF('FARB 2026'!$B$17:$B$48,E13)=0,"⚠ progetto non trovato","")</f>
        <v/>
      </c>
    </row>
    <row r="14" spans="1:7" x14ac:dyDescent="0.2">
      <c r="A14" s="7">
        <v>10</v>
      </c>
      <c r="B14" s="7" t="s">
        <v>124</v>
      </c>
      <c r="C14" s="39" t="s">
        <v>121</v>
      </c>
      <c r="D14" s="40" t="s">
        <v>41</v>
      </c>
      <c r="E14" s="41" t="s">
        <v>48</v>
      </c>
      <c r="F14" s="24">
        <f>IF(D14="no",'FARB 2026'!$G$9,0)</f>
        <v>844.40000000000009</v>
      </c>
      <c r="G14" s="42" t="str">
        <f>IF(COUNTIF('FARB 2026'!$B$17:$B$48,E14)=0,"⚠ progetto non trovato","")</f>
        <v/>
      </c>
    </row>
    <row r="15" spans="1:7" x14ac:dyDescent="0.2">
      <c r="A15" s="7">
        <v>11</v>
      </c>
      <c r="B15" s="7" t="s">
        <v>125</v>
      </c>
      <c r="C15" s="39" t="s">
        <v>121</v>
      </c>
      <c r="D15" s="40" t="s">
        <v>41</v>
      </c>
      <c r="E15" s="41" t="s">
        <v>48</v>
      </c>
      <c r="F15" s="24">
        <f>IF(D15="no",'FARB 2026'!$G$9,0)</f>
        <v>844.40000000000009</v>
      </c>
      <c r="G15" s="42" t="str">
        <f>IF(COUNTIF('FARB 2026'!$B$17:$B$48,E15)=0,"⚠ progetto non trovato","")</f>
        <v/>
      </c>
    </row>
    <row r="16" spans="1:7" x14ac:dyDescent="0.2">
      <c r="A16" s="7">
        <v>12</v>
      </c>
      <c r="B16" s="7" t="s">
        <v>126</v>
      </c>
      <c r="C16" s="39" t="s">
        <v>127</v>
      </c>
      <c r="D16" s="40" t="s">
        <v>41</v>
      </c>
      <c r="E16" s="41" t="s">
        <v>48</v>
      </c>
      <c r="F16" s="24">
        <f>IF(D16="no",'FARB 2026'!$G$9,0)</f>
        <v>844.40000000000009</v>
      </c>
      <c r="G16" s="42" t="str">
        <f>IF(COUNTIF('FARB 2026'!$B$17:$B$48,E16)=0,"⚠ progetto non trovato","")</f>
        <v/>
      </c>
    </row>
    <row r="17" spans="1:7" x14ac:dyDescent="0.2">
      <c r="A17" s="7">
        <v>13</v>
      </c>
      <c r="B17" s="7" t="s">
        <v>50</v>
      </c>
      <c r="C17" s="39" t="s">
        <v>128</v>
      </c>
      <c r="D17" s="40" t="s">
        <v>41</v>
      </c>
      <c r="E17" s="41" t="s">
        <v>50</v>
      </c>
      <c r="F17" s="24">
        <f>IF(D17="no",'FARB 2026'!$G$9,0)</f>
        <v>844.40000000000009</v>
      </c>
      <c r="G17" s="42" t="str">
        <f>IF(COUNTIF('FARB 2026'!$B$17:$B$48,E17)=0,"⚠ progetto non trovato","")</f>
        <v/>
      </c>
    </row>
    <row r="18" spans="1:7" x14ac:dyDescent="0.2">
      <c r="A18" s="7">
        <v>14</v>
      </c>
      <c r="B18" s="7" t="s">
        <v>52</v>
      </c>
      <c r="C18" s="39" t="s">
        <v>129</v>
      </c>
      <c r="D18" s="40" t="s">
        <v>41</v>
      </c>
      <c r="E18" s="41" t="s">
        <v>52</v>
      </c>
      <c r="F18" s="24">
        <f>IF(D18="no",'FARB 2026'!$G$9,0)</f>
        <v>844.40000000000009</v>
      </c>
      <c r="G18" s="42" t="str">
        <f>IF(COUNTIF('FARB 2026'!$B$17:$B$48,E18)=0,"⚠ progetto non trovato","")</f>
        <v/>
      </c>
    </row>
    <row r="19" spans="1:7" x14ac:dyDescent="0.2">
      <c r="A19" s="7">
        <v>15</v>
      </c>
      <c r="B19" s="7" t="s">
        <v>54</v>
      </c>
      <c r="C19" s="39" t="s">
        <v>130</v>
      </c>
      <c r="D19" s="40" t="s">
        <v>41</v>
      </c>
      <c r="E19" s="41" t="s">
        <v>54</v>
      </c>
      <c r="F19" s="24">
        <f>IF(D19="no",'FARB 2026'!$G$9,0)</f>
        <v>844.40000000000009</v>
      </c>
      <c r="G19" s="42" t="str">
        <f>IF(COUNTIF('FARB 2026'!$B$17:$B$48,E19)=0,"⚠ progetto non trovato","")</f>
        <v/>
      </c>
    </row>
    <row r="20" spans="1:7" x14ac:dyDescent="0.2">
      <c r="A20" s="7">
        <v>16</v>
      </c>
      <c r="B20" s="7" t="s">
        <v>56</v>
      </c>
      <c r="C20" s="39" t="s">
        <v>131</v>
      </c>
      <c r="D20" s="40" t="s">
        <v>41</v>
      </c>
      <c r="E20" s="41" t="s">
        <v>56</v>
      </c>
      <c r="F20" s="24">
        <f>IF(D20="no",'FARB 2026'!$G$9,0)</f>
        <v>844.40000000000009</v>
      </c>
      <c r="G20" s="42" t="str">
        <f>IF(COUNTIF('FARB 2026'!$B$17:$B$48,E20)=0,"⚠ progetto non trovato","")</f>
        <v/>
      </c>
    </row>
    <row r="21" spans="1:7" x14ac:dyDescent="0.2">
      <c r="A21" s="7">
        <v>17</v>
      </c>
      <c r="B21" s="7" t="s">
        <v>57</v>
      </c>
      <c r="C21" s="39" t="s">
        <v>132</v>
      </c>
      <c r="D21" s="40" t="s">
        <v>41</v>
      </c>
      <c r="E21" s="41" t="s">
        <v>57</v>
      </c>
      <c r="F21" s="24">
        <f>IF(D21="no",'FARB 2026'!$G$9,0)</f>
        <v>844.40000000000009</v>
      </c>
      <c r="G21" s="42" t="str">
        <f>IF(COUNTIF('FARB 2026'!$B$17:$B$48,E21)=0,"⚠ progetto non trovato","")</f>
        <v/>
      </c>
    </row>
    <row r="22" spans="1:7" x14ac:dyDescent="0.2">
      <c r="A22" s="7">
        <v>18</v>
      </c>
      <c r="B22" s="7" t="s">
        <v>59</v>
      </c>
      <c r="C22" s="39" t="s">
        <v>133</v>
      </c>
      <c r="D22" s="40" t="s">
        <v>41</v>
      </c>
      <c r="E22" s="41" t="s">
        <v>59</v>
      </c>
      <c r="F22" s="24">
        <f>IF(D22="no",'FARB 2026'!$G$9,0)</f>
        <v>844.40000000000009</v>
      </c>
      <c r="G22" s="42" t="str">
        <f>IF(COUNTIF('FARB 2026'!$B$17:$B$48,E22)=0,"⚠ progetto non trovato","")</f>
        <v/>
      </c>
    </row>
    <row r="23" spans="1:7" x14ac:dyDescent="0.2">
      <c r="A23" s="7">
        <v>19</v>
      </c>
      <c r="B23" s="7" t="s">
        <v>134</v>
      </c>
      <c r="C23" s="39" t="s">
        <v>135</v>
      </c>
      <c r="D23" s="40" t="s">
        <v>41</v>
      </c>
      <c r="E23" s="41" t="s">
        <v>59</v>
      </c>
      <c r="F23" s="24">
        <f>IF(D23="no",'FARB 2026'!$G$9,0)</f>
        <v>844.40000000000009</v>
      </c>
      <c r="G23" s="42" t="str">
        <f>IF(COUNTIF('FARB 2026'!$B$17:$B$48,E23)=0,"⚠ progetto non trovato","")</f>
        <v/>
      </c>
    </row>
    <row r="24" spans="1:7" x14ac:dyDescent="0.2">
      <c r="A24" s="7">
        <v>20</v>
      </c>
      <c r="B24" s="43" t="s">
        <v>61</v>
      </c>
      <c r="C24" s="44" t="s">
        <v>136</v>
      </c>
      <c r="D24" s="40" t="s">
        <v>41</v>
      </c>
      <c r="E24" s="41" t="s">
        <v>61</v>
      </c>
      <c r="F24" s="24">
        <f>IF(D24="no",'FARB 2026'!$G$9,0)</f>
        <v>844.40000000000009</v>
      </c>
      <c r="G24" s="42" t="str">
        <f>IF(COUNTIF('FARB 2026'!$B$17:$B$48,E24)=0,"⚠ progetto non trovato","")</f>
        <v/>
      </c>
    </row>
    <row r="25" spans="1:7" x14ac:dyDescent="0.2">
      <c r="A25" s="7">
        <v>21</v>
      </c>
      <c r="B25" s="7" t="s">
        <v>137</v>
      </c>
      <c r="C25" s="39" t="s">
        <v>138</v>
      </c>
      <c r="D25" s="40" t="s">
        <v>41</v>
      </c>
      <c r="E25" s="41" t="s">
        <v>62</v>
      </c>
      <c r="F25" s="24">
        <f>IF(D25="no",'FARB 2026'!$G$9,0)</f>
        <v>844.40000000000009</v>
      </c>
      <c r="G25" s="42" t="str">
        <f>IF(COUNTIF('FARB 2026'!$B$17:$B$48,E25)=0,"⚠ progetto non trovato","")</f>
        <v/>
      </c>
    </row>
    <row r="26" spans="1:7" x14ac:dyDescent="0.2">
      <c r="A26" s="7">
        <v>22</v>
      </c>
      <c r="B26" s="43" t="s">
        <v>64</v>
      </c>
      <c r="C26" s="44" t="s">
        <v>139</v>
      </c>
      <c r="D26" s="40" t="s">
        <v>41</v>
      </c>
      <c r="E26" s="41" t="s">
        <v>64</v>
      </c>
      <c r="F26" s="24">
        <f>IF(D26="no",'FARB 2026'!$G$9,0)</f>
        <v>844.40000000000009</v>
      </c>
      <c r="G26" s="42" t="str">
        <f>IF(COUNTIF('FARB 2026'!$B$17:$B$48,E26)=0,"⚠ progetto non trovato","")</f>
        <v/>
      </c>
    </row>
    <row r="27" spans="1:7" x14ac:dyDescent="0.2">
      <c r="A27" s="7">
        <v>23</v>
      </c>
      <c r="B27" s="43" t="s">
        <v>140</v>
      </c>
      <c r="C27" s="44" t="s">
        <v>141</v>
      </c>
      <c r="D27" s="40" t="s">
        <v>41</v>
      </c>
      <c r="E27" s="41" t="s">
        <v>78</v>
      </c>
      <c r="F27" s="24">
        <f>IF(D27="no",'FARB 2026'!$G$9,0)</f>
        <v>844.40000000000009</v>
      </c>
      <c r="G27" s="42" t="str">
        <f>IF(COUNTIF('FARB 2026'!$B$17:$B$48,E27)=0,"⚠ progetto non trovato","")</f>
        <v/>
      </c>
    </row>
    <row r="28" spans="1:7" x14ac:dyDescent="0.2">
      <c r="A28" s="7">
        <v>24</v>
      </c>
      <c r="B28" s="43" t="s">
        <v>76</v>
      </c>
      <c r="C28" s="44" t="s">
        <v>142</v>
      </c>
      <c r="D28" s="40" t="s">
        <v>41</v>
      </c>
      <c r="E28" s="41" t="s">
        <v>76</v>
      </c>
      <c r="F28" s="24">
        <f>IF(D28="no",'FARB 2026'!$G$9,0)</f>
        <v>844.40000000000009</v>
      </c>
      <c r="G28" s="42" t="str">
        <f>IF(COUNTIF('FARB 2026'!$B$17:$B$48,E28)=0,"⚠ progetto non trovato","")</f>
        <v/>
      </c>
    </row>
    <row r="29" spans="1:7" x14ac:dyDescent="0.2">
      <c r="A29" s="7">
        <v>25</v>
      </c>
      <c r="B29" s="7" t="s">
        <v>66</v>
      </c>
      <c r="C29" s="39" t="s">
        <v>143</v>
      </c>
      <c r="D29" s="40" t="s">
        <v>41</v>
      </c>
      <c r="E29" s="41" t="s">
        <v>66</v>
      </c>
      <c r="F29" s="24">
        <f>IF(D29="no",'FARB 2026'!$G$9,0)</f>
        <v>844.40000000000009</v>
      </c>
      <c r="G29" s="42" t="str">
        <f>IF(COUNTIF('FARB 2026'!$B$17:$B$48,E29)=0,"⚠ progetto non trovato","")</f>
        <v/>
      </c>
    </row>
    <row r="30" spans="1:7" x14ac:dyDescent="0.2">
      <c r="A30" s="7">
        <v>26</v>
      </c>
      <c r="B30" s="43" t="s">
        <v>144</v>
      </c>
      <c r="C30" s="44" t="s">
        <v>145</v>
      </c>
      <c r="D30" s="40" t="s">
        <v>41</v>
      </c>
      <c r="E30" s="41" t="s">
        <v>66</v>
      </c>
      <c r="F30" s="24">
        <f>IF(D30="no",'FARB 2026'!$G$9,0)</f>
        <v>844.40000000000009</v>
      </c>
      <c r="G30" s="42" t="str">
        <f>IF(COUNTIF('FARB 2026'!$B$17:$B$48,E30)=0,"⚠ progetto non trovato","")</f>
        <v/>
      </c>
    </row>
    <row r="31" spans="1:7" x14ac:dyDescent="0.2">
      <c r="A31" s="7">
        <v>27</v>
      </c>
      <c r="B31" s="7" t="s">
        <v>146</v>
      </c>
      <c r="C31" s="39" t="s">
        <v>143</v>
      </c>
      <c r="D31" s="40" t="s">
        <v>41</v>
      </c>
      <c r="E31" s="41" t="s">
        <v>66</v>
      </c>
      <c r="F31" s="24">
        <f>IF(D31="no",'FARB 2026'!$G$9,0)</f>
        <v>844.40000000000009</v>
      </c>
      <c r="G31" s="42" t="str">
        <f>IF(COUNTIF('FARB 2026'!$B$17:$B$48,E31)=0,"⚠ progetto non trovato","")</f>
        <v/>
      </c>
    </row>
    <row r="32" spans="1:7" x14ac:dyDescent="0.2">
      <c r="A32" s="7">
        <v>28</v>
      </c>
      <c r="B32" s="7" t="s">
        <v>68</v>
      </c>
      <c r="C32" s="39" t="s">
        <v>147</v>
      </c>
      <c r="D32" s="40" t="s">
        <v>41</v>
      </c>
      <c r="E32" s="41" t="s">
        <v>68</v>
      </c>
      <c r="F32" s="24">
        <f>IF(D32="no",'FARB 2026'!$G$9,0)</f>
        <v>844.40000000000009</v>
      </c>
      <c r="G32" s="42" t="str">
        <f>IF(COUNTIF('FARB 2026'!$B$17:$B$48,E32)=0,"⚠ progetto non trovato","")</f>
        <v/>
      </c>
    </row>
    <row r="33" spans="1:7" x14ac:dyDescent="0.2">
      <c r="A33" s="7">
        <v>29</v>
      </c>
      <c r="B33" s="7" t="s">
        <v>148</v>
      </c>
      <c r="C33" s="39" t="s">
        <v>149</v>
      </c>
      <c r="D33" s="40" t="s">
        <v>41</v>
      </c>
      <c r="E33" s="41" t="s">
        <v>68</v>
      </c>
      <c r="F33" s="24">
        <f>IF(D33="no",'FARB 2026'!$G$9,0)</f>
        <v>844.40000000000009</v>
      </c>
      <c r="G33" s="42" t="str">
        <f>IF(COUNTIF('FARB 2026'!$B$17:$B$48,E33)=0,"⚠ progetto non trovato","")</f>
        <v/>
      </c>
    </row>
    <row r="34" spans="1:7" x14ac:dyDescent="0.2">
      <c r="A34" s="7">
        <v>30</v>
      </c>
      <c r="B34" s="7" t="s">
        <v>150</v>
      </c>
      <c r="C34" s="39" t="s">
        <v>147</v>
      </c>
      <c r="D34" s="40" t="s">
        <v>41</v>
      </c>
      <c r="E34" s="41" t="s">
        <v>68</v>
      </c>
      <c r="F34" s="24">
        <f>IF(D34="no",'FARB 2026'!$G$9,0)</f>
        <v>844.40000000000009</v>
      </c>
      <c r="G34" s="42" t="str">
        <f>IF(COUNTIF('FARB 2026'!$B$17:$B$48,E34)=0,"⚠ progetto non trovato","")</f>
        <v/>
      </c>
    </row>
    <row r="35" spans="1:7" x14ac:dyDescent="0.2">
      <c r="A35" s="7">
        <v>31</v>
      </c>
      <c r="B35" s="7" t="s">
        <v>151</v>
      </c>
      <c r="C35" s="39" t="s">
        <v>147</v>
      </c>
      <c r="D35" s="40" t="s">
        <v>41</v>
      </c>
      <c r="E35" s="41" t="s">
        <v>68</v>
      </c>
      <c r="F35" s="24">
        <f>IF(D35="no",'FARB 2026'!$G$9,0)</f>
        <v>844.40000000000009</v>
      </c>
      <c r="G35" s="42" t="str">
        <f>IF(COUNTIF('FARB 2026'!$B$17:$B$48,E35)=0,"⚠ progetto non trovato","")</f>
        <v/>
      </c>
    </row>
    <row r="36" spans="1:7" x14ac:dyDescent="0.2">
      <c r="A36" s="7">
        <v>32</v>
      </c>
      <c r="B36" s="7" t="s">
        <v>152</v>
      </c>
      <c r="C36" s="39" t="s">
        <v>147</v>
      </c>
      <c r="D36" s="40" t="s">
        <v>41</v>
      </c>
      <c r="E36" s="41" t="s">
        <v>68</v>
      </c>
      <c r="F36" s="24">
        <f>IF(D36="no",'FARB 2026'!$G$9,0)</f>
        <v>844.40000000000009</v>
      </c>
      <c r="G36" s="42" t="str">
        <f>IF(COUNTIF('FARB 2026'!$B$17:$B$48,E36)=0,"⚠ progetto non trovato","")</f>
        <v/>
      </c>
    </row>
    <row r="37" spans="1:7" x14ac:dyDescent="0.2">
      <c r="A37" s="7">
        <v>33</v>
      </c>
      <c r="B37" s="43" t="s">
        <v>153</v>
      </c>
      <c r="C37" s="44" t="s">
        <v>154</v>
      </c>
      <c r="D37" s="40" t="s">
        <v>41</v>
      </c>
      <c r="E37" s="41" t="s">
        <v>70</v>
      </c>
      <c r="F37" s="24">
        <f>IF(D37="no",'FARB 2026'!$G$9,0)</f>
        <v>844.40000000000009</v>
      </c>
      <c r="G37" s="42" t="str">
        <f>IF(COUNTIF('FARB 2026'!$B$17:$B$48,E37)=0,"⚠ progetto non trovato","")</f>
        <v/>
      </c>
    </row>
    <row r="38" spans="1:7" x14ac:dyDescent="0.2">
      <c r="A38" s="7">
        <v>34</v>
      </c>
      <c r="B38" s="7" t="s">
        <v>72</v>
      </c>
      <c r="C38" s="39" t="s">
        <v>155</v>
      </c>
      <c r="D38" s="40" t="s">
        <v>41</v>
      </c>
      <c r="E38" s="41" t="s">
        <v>72</v>
      </c>
      <c r="F38" s="24">
        <f>IF(D38="no",'FARB 2026'!$G$9,0)</f>
        <v>844.40000000000009</v>
      </c>
      <c r="G38" s="42" t="str">
        <f>IF(COUNTIF('FARB 2026'!$B$17:$B$48,E38)=0,"⚠ progetto non trovato","")</f>
        <v/>
      </c>
    </row>
    <row r="39" spans="1:7" x14ac:dyDescent="0.2">
      <c r="A39" s="7">
        <v>35</v>
      </c>
      <c r="B39" s="7" t="s">
        <v>156</v>
      </c>
      <c r="C39" s="39" t="s">
        <v>157</v>
      </c>
      <c r="D39" s="40" t="s">
        <v>41</v>
      </c>
      <c r="E39" s="41" t="s">
        <v>72</v>
      </c>
      <c r="F39" s="24">
        <f>IF(D39="no",'FARB 2026'!$G$9,0)</f>
        <v>844.40000000000009</v>
      </c>
      <c r="G39" s="42" t="str">
        <f>IF(COUNTIF('FARB 2026'!$B$17:$B$48,E39)=0,"⚠ progetto non trovato","")</f>
        <v/>
      </c>
    </row>
    <row r="40" spans="1:7" x14ac:dyDescent="0.2">
      <c r="A40" s="7">
        <v>36</v>
      </c>
      <c r="B40" s="7" t="s">
        <v>74</v>
      </c>
      <c r="C40" s="39" t="s">
        <v>158</v>
      </c>
      <c r="D40" s="40" t="s">
        <v>41</v>
      </c>
      <c r="E40" s="41" t="s">
        <v>74</v>
      </c>
      <c r="F40" s="24">
        <f>IF(D40="no",'FARB 2026'!$G$9,0)</f>
        <v>844.40000000000009</v>
      </c>
      <c r="G40" s="42" t="str">
        <f>IF(COUNTIF('FARB 2026'!$B$17:$B$48,E40)=0,"⚠ progetto non trovato","")</f>
        <v/>
      </c>
    </row>
    <row r="41" spans="1:7" x14ac:dyDescent="0.2">
      <c r="A41" s="7">
        <v>37</v>
      </c>
      <c r="B41" s="7" t="s">
        <v>78</v>
      </c>
      <c r="C41" s="39" t="s">
        <v>159</v>
      </c>
      <c r="D41" s="40" t="s">
        <v>41</v>
      </c>
      <c r="E41" s="41" t="s">
        <v>78</v>
      </c>
      <c r="F41" s="24">
        <f>IF(D41="no",'FARB 2026'!$G$9,0)</f>
        <v>844.40000000000009</v>
      </c>
      <c r="G41" s="42" t="str">
        <f>IF(COUNTIF('FARB 2026'!$B$17:$B$48,E41)=0,"⚠ progetto non trovato","")</f>
        <v/>
      </c>
    </row>
    <row r="42" spans="1:7" x14ac:dyDescent="0.2">
      <c r="A42" s="7">
        <v>38</v>
      </c>
      <c r="B42" s="7" t="s">
        <v>160</v>
      </c>
      <c r="C42" s="39" t="s">
        <v>159</v>
      </c>
      <c r="D42" s="40" t="s">
        <v>41</v>
      </c>
      <c r="E42" s="41" t="s">
        <v>78</v>
      </c>
      <c r="F42" s="24">
        <f>IF(D42="no",'FARB 2026'!$G$9,0)</f>
        <v>844.40000000000009</v>
      </c>
      <c r="G42" s="42" t="str">
        <f>IF(COUNTIF('FARB 2026'!$B$17:$B$48,E42)=0,"⚠ progetto non trovato","")</f>
        <v/>
      </c>
    </row>
    <row r="43" spans="1:7" x14ac:dyDescent="0.2">
      <c r="A43" s="7">
        <v>39</v>
      </c>
      <c r="B43" s="7" t="s">
        <v>161</v>
      </c>
      <c r="C43" s="39" t="s">
        <v>159</v>
      </c>
      <c r="D43" s="40" t="s">
        <v>41</v>
      </c>
      <c r="E43" s="41" t="s">
        <v>78</v>
      </c>
      <c r="F43" s="24">
        <f>IF(D43="no",'FARB 2026'!$G$9,0)</f>
        <v>844.40000000000009</v>
      </c>
      <c r="G43" s="42" t="str">
        <f>IF(COUNTIF('FARB 2026'!$B$17:$B$48,E43)=0,"⚠ progetto non trovato","")</f>
        <v/>
      </c>
    </row>
    <row r="44" spans="1:7" x14ac:dyDescent="0.2">
      <c r="A44" s="7">
        <v>40</v>
      </c>
      <c r="B44" s="7" t="s">
        <v>162</v>
      </c>
      <c r="C44" s="39" t="s">
        <v>163</v>
      </c>
      <c r="D44" s="40" t="s">
        <v>41</v>
      </c>
      <c r="E44" s="41" t="s">
        <v>80</v>
      </c>
      <c r="F44" s="24">
        <f>IF(D44="no",'FARB 2026'!$G$9,0)</f>
        <v>844.40000000000009</v>
      </c>
      <c r="G44" s="42" t="str">
        <f>IF(COUNTIF('FARB 2026'!$B$17:$B$48,E44)=0,"⚠ progetto non trovato","")</f>
        <v/>
      </c>
    </row>
    <row r="45" spans="1:7" x14ac:dyDescent="0.2">
      <c r="A45" s="7">
        <v>41</v>
      </c>
      <c r="B45" s="7" t="s">
        <v>164</v>
      </c>
      <c r="C45" s="39" t="s">
        <v>165</v>
      </c>
      <c r="D45" s="40" t="s">
        <v>41</v>
      </c>
      <c r="E45" s="41" t="s">
        <v>80</v>
      </c>
      <c r="F45" s="24">
        <f>IF(D45="no",'FARB 2026'!$G$9,0)</f>
        <v>844.40000000000009</v>
      </c>
      <c r="G45" s="42" t="str">
        <f>IF(COUNTIF('FARB 2026'!$B$17:$B$48,E45)=0,"⚠ progetto non trovato","")</f>
        <v/>
      </c>
    </row>
    <row r="46" spans="1:7" x14ac:dyDescent="0.2">
      <c r="A46" s="7">
        <v>42</v>
      </c>
      <c r="B46" s="7" t="s">
        <v>166</v>
      </c>
      <c r="C46" s="39" t="s">
        <v>165</v>
      </c>
      <c r="D46" s="40" t="s">
        <v>41</v>
      </c>
      <c r="E46" s="41" t="s">
        <v>80</v>
      </c>
      <c r="F46" s="24">
        <f>IF(D46="no",'FARB 2026'!$G$9,0)</f>
        <v>844.40000000000009</v>
      </c>
      <c r="G46" s="42" t="str">
        <f>IF(COUNTIF('FARB 2026'!$B$17:$B$48,E46)=0,"⚠ progetto non trovato","")</f>
        <v/>
      </c>
    </row>
    <row r="47" spans="1:7" x14ac:dyDescent="0.2">
      <c r="A47" s="7">
        <v>43</v>
      </c>
      <c r="B47" s="7" t="s">
        <v>80</v>
      </c>
      <c r="C47" s="39" t="s">
        <v>165</v>
      </c>
      <c r="D47" s="40" t="s">
        <v>41</v>
      </c>
      <c r="E47" s="41" t="s">
        <v>80</v>
      </c>
      <c r="F47" s="24">
        <f>IF(D47="no",'FARB 2026'!$G$9,0)</f>
        <v>844.40000000000009</v>
      </c>
      <c r="G47" s="42" t="str">
        <f>IF(COUNTIF('FARB 2026'!$B$17:$B$48,E47)=0,"⚠ progetto non trovato","")</f>
        <v/>
      </c>
    </row>
    <row r="48" spans="1:7" x14ac:dyDescent="0.2">
      <c r="A48" s="7">
        <v>44</v>
      </c>
      <c r="B48" s="7" t="s">
        <v>82</v>
      </c>
      <c r="C48" s="39" t="s">
        <v>167</v>
      </c>
      <c r="D48" s="40" t="s">
        <v>41</v>
      </c>
      <c r="E48" s="41" t="s">
        <v>82</v>
      </c>
      <c r="F48" s="24">
        <f>IF(D48="no",'FARB 2026'!$G$9,0)</f>
        <v>844.40000000000009</v>
      </c>
      <c r="G48" s="42" t="str">
        <f>IF(COUNTIF('FARB 2026'!$B$17:$B$48,E48)=0,"⚠ progetto non trovato","")</f>
        <v/>
      </c>
    </row>
    <row r="49" spans="1:7" x14ac:dyDescent="0.2">
      <c r="A49" s="7">
        <v>45</v>
      </c>
      <c r="B49" s="7" t="s">
        <v>84</v>
      </c>
      <c r="C49" s="39" t="s">
        <v>168</v>
      </c>
      <c r="D49" s="40" t="s">
        <v>41</v>
      </c>
      <c r="E49" s="41" t="s">
        <v>84</v>
      </c>
      <c r="F49" s="24">
        <f>IF(D49="no",'FARB 2026'!$G$9,0)</f>
        <v>844.40000000000009</v>
      </c>
      <c r="G49" s="42" t="str">
        <f>IF(COUNTIF('FARB 2026'!$B$17:$B$48,E49)=0,"⚠ progetto non trovato","")</f>
        <v/>
      </c>
    </row>
    <row r="50" spans="1:7" x14ac:dyDescent="0.2">
      <c r="A50" s="7">
        <v>46</v>
      </c>
      <c r="B50" s="7" t="s">
        <v>88</v>
      </c>
      <c r="C50" s="39" t="s">
        <v>169</v>
      </c>
      <c r="D50" s="40" t="s">
        <v>41</v>
      </c>
      <c r="E50" s="41" t="s">
        <v>88</v>
      </c>
      <c r="F50" s="24">
        <f>IF(D50="no",'FARB 2026'!$G$9,0)</f>
        <v>844.40000000000009</v>
      </c>
      <c r="G50" s="42" t="str">
        <f>IF(COUNTIF('FARB 2026'!$B$17:$B$48,E50)=0,"⚠ progetto non trovato","")</f>
        <v/>
      </c>
    </row>
    <row r="51" spans="1:7" x14ac:dyDescent="0.2">
      <c r="A51" s="7">
        <v>47</v>
      </c>
      <c r="B51" s="7" t="s">
        <v>170</v>
      </c>
      <c r="C51" s="39" t="s">
        <v>169</v>
      </c>
      <c r="D51" s="40" t="s">
        <v>41</v>
      </c>
      <c r="E51" s="41" t="s">
        <v>88</v>
      </c>
      <c r="F51" s="24">
        <f>IF(D51="no",'FARB 2026'!$G$9,0)</f>
        <v>844.40000000000009</v>
      </c>
      <c r="G51" s="42" t="str">
        <f>IF(COUNTIF('FARB 2026'!$B$17:$B$48,E51)=0,"⚠ progetto non trovato","")</f>
        <v/>
      </c>
    </row>
    <row r="52" spans="1:7" x14ac:dyDescent="0.2">
      <c r="A52" s="7">
        <v>48</v>
      </c>
      <c r="B52" s="7" t="s">
        <v>171</v>
      </c>
      <c r="C52" s="39" t="s">
        <v>169</v>
      </c>
      <c r="D52" s="40" t="s">
        <v>41</v>
      </c>
      <c r="E52" s="41" t="s">
        <v>88</v>
      </c>
      <c r="F52" s="24">
        <f>IF(D52="no",'FARB 2026'!$G$9,0)</f>
        <v>844.40000000000009</v>
      </c>
      <c r="G52" s="42" t="str">
        <f>IF(COUNTIF('FARB 2026'!$B$17:$B$48,E52)=0,"⚠ progetto non trovato","")</f>
        <v/>
      </c>
    </row>
    <row r="53" spans="1:7" x14ac:dyDescent="0.2">
      <c r="A53" s="7">
        <v>49</v>
      </c>
      <c r="B53" s="7" t="s">
        <v>172</v>
      </c>
      <c r="C53" s="39" t="s">
        <v>169</v>
      </c>
      <c r="D53" s="40" t="s">
        <v>41</v>
      </c>
      <c r="E53" s="41" t="s">
        <v>88</v>
      </c>
      <c r="F53" s="24">
        <f>IF(D53="no",'FARB 2026'!$G$9,0)</f>
        <v>844.40000000000009</v>
      </c>
      <c r="G53" s="42" t="str">
        <f>IF(COUNTIF('FARB 2026'!$B$17:$B$48,E53)=0,"⚠ progetto non trovato","")</f>
        <v/>
      </c>
    </row>
    <row r="54" spans="1:7" x14ac:dyDescent="0.2">
      <c r="A54" s="7">
        <v>50</v>
      </c>
      <c r="B54" s="7" t="s">
        <v>90</v>
      </c>
      <c r="C54" s="39" t="s">
        <v>173</v>
      </c>
      <c r="D54" s="40" t="s">
        <v>41</v>
      </c>
      <c r="E54" s="41" t="s">
        <v>90</v>
      </c>
      <c r="F54" s="24">
        <f>IF(D54="no",'FARB 2026'!$G$9,0)</f>
        <v>844.40000000000009</v>
      </c>
      <c r="G54" s="42" t="str">
        <f>IF(COUNTIF('FARB 2026'!$B$17:$B$48,E54)=0,"⚠ progetto non trovato","")</f>
        <v/>
      </c>
    </row>
    <row r="55" spans="1:7" x14ac:dyDescent="0.2">
      <c r="A55" s="7">
        <v>51</v>
      </c>
      <c r="B55" s="7" t="s">
        <v>91</v>
      </c>
      <c r="C55" s="39" t="s">
        <v>174</v>
      </c>
      <c r="D55" s="40" t="s">
        <v>41</v>
      </c>
      <c r="E55" s="41" t="s">
        <v>91</v>
      </c>
      <c r="F55" s="24">
        <f>IF(D55="no",'FARB 2026'!$G$9,0)</f>
        <v>844.40000000000009</v>
      </c>
      <c r="G55" s="42" t="str">
        <f>IF(COUNTIF('FARB 2026'!$B$17:$B$48,E55)=0,"⚠ progetto non trovato","")</f>
        <v/>
      </c>
    </row>
    <row r="56" spans="1:7" x14ac:dyDescent="0.2">
      <c r="A56" s="7">
        <v>52</v>
      </c>
      <c r="B56" s="7" t="s">
        <v>175</v>
      </c>
      <c r="C56" s="39" t="s">
        <v>176</v>
      </c>
      <c r="D56" s="40" t="s">
        <v>41</v>
      </c>
      <c r="E56" s="41" t="s">
        <v>92</v>
      </c>
      <c r="F56" s="24">
        <f>IF(D56="no",'FARB 2026'!$G$9,0)</f>
        <v>844.40000000000009</v>
      </c>
      <c r="G56" s="42" t="str">
        <f>IF(COUNTIF('FARB 2026'!$B$17:$B$48,E56)=0,"⚠ progetto non trovato","")</f>
        <v/>
      </c>
    </row>
    <row r="57" spans="1:7" x14ac:dyDescent="0.2">
      <c r="A57" s="7">
        <v>53</v>
      </c>
      <c r="B57" s="7" t="s">
        <v>177</v>
      </c>
      <c r="C57" s="39" t="s">
        <v>176</v>
      </c>
      <c r="D57" s="40" t="s">
        <v>41</v>
      </c>
      <c r="E57" s="41" t="s">
        <v>92</v>
      </c>
      <c r="F57" s="24">
        <f>IF(D57="no",'FARB 2026'!$G$9,0)</f>
        <v>844.40000000000009</v>
      </c>
      <c r="G57" s="42" t="str">
        <f>IF(COUNTIF('FARB 2026'!$B$17:$B$48,E57)=0,"⚠ progetto non trovato","")</f>
        <v/>
      </c>
    </row>
    <row r="58" spans="1:7" x14ac:dyDescent="0.2">
      <c r="A58" s="7">
        <v>54</v>
      </c>
      <c r="B58" s="7" t="s">
        <v>178</v>
      </c>
      <c r="C58" s="39" t="s">
        <v>176</v>
      </c>
      <c r="D58" s="40" t="s">
        <v>41</v>
      </c>
      <c r="E58" s="41" t="s">
        <v>92</v>
      </c>
      <c r="F58" s="24">
        <f>IF(D58="no",'FARB 2026'!$G$9,0)</f>
        <v>844.40000000000009</v>
      </c>
      <c r="G58" s="42" t="str">
        <f>IF(COUNTIF('FARB 2026'!$B$17:$B$48,E58)=0,"⚠ progetto non trovato","")</f>
        <v/>
      </c>
    </row>
    <row r="59" spans="1:7" x14ac:dyDescent="0.2">
      <c r="A59" s="7">
        <v>55</v>
      </c>
      <c r="B59" s="7" t="s">
        <v>92</v>
      </c>
      <c r="C59" s="39" t="s">
        <v>176</v>
      </c>
      <c r="D59" s="40" t="s">
        <v>41</v>
      </c>
      <c r="E59" s="41" t="s">
        <v>92</v>
      </c>
      <c r="F59" s="24">
        <f>IF(D59="no",'FARB 2026'!$G$9,0)</f>
        <v>844.40000000000009</v>
      </c>
      <c r="G59" s="42" t="str">
        <f>IF(COUNTIF('FARB 2026'!$B$17:$B$48,E59)=0,"⚠ progetto non trovato","")</f>
        <v/>
      </c>
    </row>
    <row r="60" spans="1:7" x14ac:dyDescent="0.2">
      <c r="A60" s="7">
        <v>56</v>
      </c>
      <c r="B60" s="7" t="s">
        <v>96</v>
      </c>
      <c r="C60" s="39" t="s">
        <v>179</v>
      </c>
      <c r="D60" s="40" t="s">
        <v>41</v>
      </c>
      <c r="E60" s="41" t="s">
        <v>96</v>
      </c>
      <c r="F60" s="24">
        <f>IF(D60="no",'FARB 2026'!$G$9,0)</f>
        <v>844.40000000000009</v>
      </c>
      <c r="G60" s="42" t="str">
        <f>IF(COUNTIF('FARB 2026'!$B$17:$B$48,E60)=0,"⚠ progetto non trovato","")</f>
        <v/>
      </c>
    </row>
    <row r="61" spans="1:7" x14ac:dyDescent="0.2">
      <c r="A61" s="7">
        <v>57</v>
      </c>
      <c r="B61" s="7" t="s">
        <v>97</v>
      </c>
      <c r="C61" s="39" t="s">
        <v>180</v>
      </c>
      <c r="D61" s="40" t="s">
        <v>41</v>
      </c>
      <c r="E61" s="41" t="s">
        <v>97</v>
      </c>
      <c r="F61" s="24">
        <f>IF(D61="no",'FARB 2026'!$G$9,0)</f>
        <v>844.40000000000009</v>
      </c>
      <c r="G61" s="42" t="str">
        <f>IF(COUNTIF('FARB 2026'!$B$17:$B$48,E61)=0,"⚠ progetto non trovato","")</f>
        <v/>
      </c>
    </row>
    <row r="62" spans="1:7" x14ac:dyDescent="0.2">
      <c r="A62" s="7">
        <v>58</v>
      </c>
      <c r="B62" s="7" t="s">
        <v>181</v>
      </c>
      <c r="C62" s="39" t="s">
        <v>182</v>
      </c>
      <c r="D62" s="40" t="s">
        <v>41</v>
      </c>
      <c r="E62" s="41" t="s">
        <v>97</v>
      </c>
      <c r="F62" s="24">
        <f>IF(D62="no",'FARB 2026'!$G$9,0)</f>
        <v>844.40000000000009</v>
      </c>
      <c r="G62" s="42" t="str">
        <f>IF(COUNTIF('FARB 2026'!$B$17:$B$48,E62)=0,"⚠ progetto non trovato","")</f>
        <v/>
      </c>
    </row>
    <row r="63" spans="1:7" x14ac:dyDescent="0.2">
      <c r="A63" s="34"/>
      <c r="B63" s="34" t="s">
        <v>183</v>
      </c>
      <c r="C63" s="34"/>
      <c r="D63" s="35">
        <f>COUNTIF(D5:D62,"no")</f>
        <v>58</v>
      </c>
      <c r="E63" s="34" t="str">
        <f>"quote assegnate: "&amp;SUM('FARB 2026'!$E$17:$E$48)</f>
        <v>quote assegnate: 58</v>
      </c>
      <c r="F63" s="36">
        <f>SUM(F5:F62)</f>
        <v>48975.200000000048</v>
      </c>
      <c r="G63" s="34"/>
    </row>
    <row r="65" spans="2:2" x14ac:dyDescent="0.2">
      <c r="B65" s="2" t="s">
        <v>184</v>
      </c>
    </row>
  </sheetData>
  <dataValidations count="1">
    <dataValidation type="list" sqref="D5:D62" xr:uid="{00000000-0002-0000-0100-000000000000}">
      <formula1>"si,no"</formula1>
    </dataValidation>
  </dataValidations>
  <pageMargins left="0.75" right="0.75" top="1" bottom="1" header="0.5" footer="0.5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1000000}">
          <x14:formula1>
            <xm:f>'FARB 2026'!$B$17:$B$48</xm:f>
          </x14:formula1>
          <xm:sqref>E5:E62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FARB 2026</vt:lpstr>
      <vt:lpstr>Ricercatori</vt:lpstr>
      <vt:lpstr>'FARB 2026'!Titoli_stampa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Armando BISOGNO</cp:lastModifiedBy>
  <dcterms:created xsi:type="dcterms:W3CDTF">2026-09-28T07:39:47Z</dcterms:created>
  <dcterms:modified xsi:type="dcterms:W3CDTF">2026-09-28T07:44:47Z</dcterms:modified>
</cp:coreProperties>
</file>