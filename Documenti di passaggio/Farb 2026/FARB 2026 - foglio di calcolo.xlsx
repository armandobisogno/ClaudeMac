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B 2026" sheetId="1" state="visible" r:id="rId1"/>
  </sheets>
  <definedNames>
    <definedName name="_xlnm.Print_Titles" localSheetId="0">'FARB 2026'!$16:$16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;-#,##0.00 €;&quot;–&quot;"/>
    <numFmt numFmtId="165" formatCode="0.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55555"/>
      <sz val="9"/>
    </font>
    <font>
      <name val="Arial"/>
      <color rgb="00555555"/>
      <sz val="9"/>
    </font>
    <font>
      <name val="Arial"/>
      <b val="1"/>
    </font>
    <font>
      <name val="Arial"/>
      <b val="1"/>
      <color rgb="000000FF"/>
    </font>
    <font>
      <name val="Arial"/>
      <b val="1"/>
      <color rgb="00FFFFFF"/>
    </font>
    <font>
      <name val="Arial"/>
      <color rgb="000000FF"/>
    </font>
    <font>
      <name val="Arial"/>
      <color theme="1"/>
    </font>
    <font>
      <name val="Arial"/>
      <i val="1"/>
      <sz val="9"/>
    </font>
    <font>
      <name val="Arial"/>
      <sz val="10"/>
    </font>
    <font>
      <name val="Arial"/>
      <color rgb="000000FF"/>
      <sz val="10"/>
    </font>
    <font>
      <name val="Arial"/>
      <color rgb="00444444"/>
      <sz val="9"/>
    </font>
    <font>
      <name val="Arial"/>
      <b val="1"/>
      <sz val="10"/>
    </font>
    <font>
      <name val="Arial"/>
      <b val="1"/>
      <color rgb="001F3864"/>
      <sz val="12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3864"/>
      </patternFill>
    </fill>
    <fill>
      <patternFill patternType="solid">
        <fgColor rgb="00E8ECF3"/>
      </patternFill>
    </fill>
    <fill>
      <patternFill patternType="solid">
        <fgColor rgb="00DDE4EE"/>
      </patternFill>
    </fill>
  </fills>
  <borders count="3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bottom style="thin">
        <color rgb="00B7C0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pivotButton="0" quotePrefix="0" xfId="0"/>
    <xf numFmtId="0" fontId="6" fillId="3" borderId="0" applyAlignment="1" pivotButton="0" quotePrefix="0" xfId="0">
      <alignment horizontal="center"/>
    </xf>
    <xf numFmtId="0" fontId="8" fillId="0" borderId="1" pivotButton="0" quotePrefix="0" xfId="0"/>
    <xf numFmtId="9" fontId="7" fillId="2" borderId="1" pivotButton="0" quotePrefix="0" xfId="0"/>
    <xf numFmtId="164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0" pivotButton="0" quotePrefix="0" xfId="0"/>
    <xf numFmtId="1" fontId="8" fillId="0" borderId="1" pivotButton="0" quotePrefix="0" xfId="0"/>
    <xf numFmtId="165" fontId="8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2" fillId="0" borderId="1" applyAlignment="1" pivotButton="0" quotePrefix="0" xfId="0">
      <alignment vertical="center" wrapText="1"/>
    </xf>
    <xf numFmtId="0" fontId="11" fillId="2" borderId="1" applyAlignment="1" pivotButton="0" quotePrefix="0" xfId="0">
      <alignment horizontal="center"/>
    </xf>
    <xf numFmtId="165" fontId="11" fillId="2" borderId="1" applyAlignment="1" pivotButton="0" quotePrefix="0" xfId="0">
      <alignment horizontal="center"/>
    </xf>
    <xf numFmtId="164" fontId="10" fillId="0" borderId="1" pivotButton="0" quotePrefix="0" xfId="0"/>
    <xf numFmtId="164" fontId="13" fillId="4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14" fillId="0" borderId="0" pivotButton="0" quotePrefix="0" xfId="0"/>
    <xf numFmtId="0" fontId="15" fillId="0" borderId="2" pivotButton="0" quotePrefix="0" xfId="0"/>
    <xf numFmtId="0" fontId="0" fillId="0" borderId="2" pivotButton="0" quotePrefix="0" xfId="0"/>
    <xf numFmtId="164" fontId="15" fillId="0" borderId="2" pivotButton="0" quotePrefix="0" xfId="0"/>
    <xf numFmtId="0" fontId="4" fillId="5" borderId="2" pivotButton="0" quotePrefix="0" xfId="0"/>
    <xf numFmtId="0" fontId="0" fillId="5" borderId="2" pivotButton="0" quotePrefix="0" xfId="0"/>
    <xf numFmtId="164" fontId="4" fillId="5" borderId="2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20" customWidth="1" min="2" max="2"/>
    <col width="44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3.5" customWidth="1" min="15" max="15"/>
  </cols>
  <sheetData>
    <row r="1">
      <c r="A1" s="1" t="inlineStr">
        <is>
          <t>FARB 2026 — Ripartizione dei fondi</t>
        </is>
      </c>
    </row>
    <row r="2">
      <c r="A2" s="2" t="inlineStr">
        <is>
          <t>Dipartimento di Scienze del Patrimonio Culturale · criteri del Regolamento FARB di Dipartimento</t>
        </is>
      </c>
    </row>
    <row r="3">
      <c r="A3" s="3" t="inlineStr">
        <is>
          <t>Celle gialle = dati da inserire (menu a tendina «si»/«no», pesi 0,1 · 0,4 · 0,7 · 1). Tutto il resto si calcola da solo.</t>
        </is>
      </c>
    </row>
    <row r="5">
      <c r="B5" s="4" t="inlineStr">
        <is>
          <t>Totale finanziamento 2026</t>
        </is>
      </c>
      <c r="E5" s="5" t="n">
        <v>122438</v>
      </c>
    </row>
    <row r="7">
      <c r="B7" s="6" t="inlineStr">
        <is>
          <t>Voce</t>
        </is>
      </c>
      <c r="D7" s="6" t="inlineStr">
        <is>
          <t>%</t>
        </is>
      </c>
      <c r="E7" s="6" t="inlineStr">
        <is>
          <t>Importo</t>
        </is>
      </c>
      <c r="F7" s="6" t="inlineStr">
        <is>
          <t>Beneficiari</t>
        </is>
      </c>
      <c r="G7" s="6" t="inlineStr">
        <is>
          <t>Quota unitaria</t>
        </is>
      </c>
    </row>
    <row r="8">
      <c r="B8" s="7" t="inlineStr">
        <is>
          <t>FARB DiSPaC</t>
        </is>
      </c>
      <c r="C8" s="7" t="n"/>
      <c r="D8" s="8" t="n">
        <v>0.1</v>
      </c>
      <c r="E8" s="9">
        <f>$E$5*D8</f>
        <v/>
      </c>
      <c r="F8" s="10" t="inlineStr">
        <is>
          <t>—</t>
        </is>
      </c>
      <c r="G8" s="7" t="n"/>
      <c r="H8" s="11">
        <f>IF(ROUND(SUM(D8:D13),6)=1,"✓ percentuali = 100%","⚠ le percentuali non sommano a 100%")</f>
        <v/>
      </c>
    </row>
    <row r="9">
      <c r="B9" s="7" t="inlineStr">
        <is>
          <t>C1 · Rilievo scientifico</t>
        </is>
      </c>
      <c r="C9" s="7" t="n"/>
      <c r="D9" s="8" t="n">
        <v>0.4</v>
      </c>
      <c r="E9" s="9">
        <f>$E$5*D9</f>
        <v/>
      </c>
      <c r="F9" s="12">
        <f>COUNTIF($E$17:$E$48,"si")</f>
        <v/>
      </c>
      <c r="G9" s="9">
        <f>IF(F9=0,0,E9/F9)</f>
        <v/>
      </c>
    </row>
    <row r="10">
      <c r="B10" s="7" t="inlineStr">
        <is>
          <t>C2 · Produzione scientifica</t>
        </is>
      </c>
      <c r="C10" s="7" t="n"/>
      <c r="D10" s="8" t="n">
        <v>0.1</v>
      </c>
      <c r="E10" s="9">
        <f>$E$5*D10</f>
        <v/>
      </c>
      <c r="F10" s="13">
        <f>SUMIF($E$17:$E$48,"si",$F$17:$F$48)</f>
        <v/>
      </c>
      <c r="G10" s="9">
        <f>IF(F10=0,0,E10/F10)</f>
        <v/>
      </c>
    </row>
    <row r="11">
      <c r="B11" s="7" t="inlineStr">
        <is>
          <t>C3 · Esigenze strategiche</t>
        </is>
      </c>
      <c r="C11" s="7" t="n"/>
      <c r="D11" s="8" t="n">
        <v>0.25</v>
      </c>
      <c r="E11" s="9">
        <f>$E$5*D11</f>
        <v/>
      </c>
      <c r="F11" s="12">
        <f>COUNTIF($G$17:$G$48,"si")</f>
        <v/>
      </c>
      <c r="G11" s="9">
        <f>IF(F11=0,0,E11/F11)</f>
        <v/>
      </c>
    </row>
    <row r="12">
      <c r="B12" s="7" t="inlineStr">
        <is>
          <t>C4 · Aggregazione (≥3 docenti)</t>
        </is>
      </c>
      <c r="C12" s="7" t="n"/>
      <c r="D12" s="8" t="n">
        <v>0.1</v>
      </c>
      <c r="E12" s="9">
        <f>$E$5*D12</f>
        <v/>
      </c>
      <c r="F12" s="12">
        <f>COUNTIF($H$17:$H$48,"si")</f>
        <v/>
      </c>
      <c r="G12" s="9">
        <f>IF(F12=0,0,E12/F12)</f>
        <v/>
      </c>
    </row>
    <row r="13">
      <c r="B13" s="7" t="inlineStr">
        <is>
          <t>C5 · Partecipazione (≥80%)</t>
        </is>
      </c>
      <c r="C13" s="7" t="n"/>
      <c r="D13" s="8" t="n">
        <v>0.05</v>
      </c>
      <c r="E13" s="9">
        <f>$E$5*D13</f>
        <v/>
      </c>
      <c r="F13" s="12">
        <f>COUNTIF($I$17:$I$48,"si")</f>
        <v/>
      </c>
      <c r="G13" s="9">
        <f>IF(F13=0,0,E13/F13)</f>
        <v/>
      </c>
    </row>
    <row r="16" ht="30" customHeight="1">
      <c r="A16" s="14" t="inlineStr">
        <is>
          <t>N.</t>
        </is>
      </c>
      <c r="B16" s="14" t="inlineStr">
        <is>
          <t>Docente proponente</t>
        </is>
      </c>
      <c r="C16" s="14" t="inlineStr">
        <is>
          <t>Gruppo di ricerca / % partecipazione</t>
        </is>
      </c>
      <c r="D16" s="14" t="inlineStr">
        <is>
          <t>Destinazione</t>
        </is>
      </c>
      <c r="E16" s="14" t="inlineStr">
        <is>
          <t>C1</t>
        </is>
      </c>
      <c r="F16" s="14" t="inlineStr">
        <is>
          <t>C2
peso</t>
        </is>
      </c>
      <c r="G16" s="14" t="inlineStr">
        <is>
          <t>C3</t>
        </is>
      </c>
      <c r="H16" s="14" t="inlineStr">
        <is>
          <t>C4</t>
        </is>
      </c>
      <c r="I16" s="14" t="inlineStr">
        <is>
          <t>C5</t>
        </is>
      </c>
      <c r="J16" s="14" t="inlineStr">
        <is>
          <t>Quota C1</t>
        </is>
      </c>
      <c r="K16" s="14" t="inlineStr">
        <is>
          <t>Quota C2</t>
        </is>
      </c>
      <c r="L16" s="14" t="inlineStr">
        <is>
          <t>Quota C3</t>
        </is>
      </c>
      <c r="M16" s="14" t="inlineStr">
        <is>
          <t>Quota C4</t>
        </is>
      </c>
      <c r="N16" s="14" t="inlineStr">
        <is>
          <t>Quota C5</t>
        </is>
      </c>
      <c r="O16" s="14" t="inlineStr">
        <is>
          <t>TOTALE</t>
        </is>
      </c>
    </row>
    <row r="17">
      <c r="A17" s="15" t="n">
        <v>1</v>
      </c>
      <c r="B17" s="15" t="inlineStr">
        <is>
          <t>Adorno</t>
        </is>
      </c>
      <c r="C17" s="16" t="inlineStr">
        <is>
          <t>95%</t>
        </is>
      </c>
      <c r="D17" s="17" t="inlineStr">
        <is>
          <t>Docente</t>
        </is>
      </c>
      <c r="E17" s="17" t="inlineStr">
        <is>
          <t>si</t>
        </is>
      </c>
      <c r="F17" s="18" t="n">
        <v>1</v>
      </c>
      <c r="G17" s="17" t="inlineStr">
        <is>
          <t>si</t>
        </is>
      </c>
      <c r="H17" s="17" t="inlineStr">
        <is>
          <t>no</t>
        </is>
      </c>
      <c r="I17" s="17" t="inlineStr">
        <is>
          <t>si</t>
        </is>
      </c>
      <c r="J17" s="19">
        <f>IF(E17="si",$G$9,0)</f>
        <v/>
      </c>
      <c r="K17" s="19">
        <f>IF(E17="si",$G$10*F17,0)</f>
        <v/>
      </c>
      <c r="L17" s="19">
        <f>IF(G17="si",$G$11,0)</f>
        <v/>
      </c>
      <c r="M17" s="19">
        <f>IF(H17="si",$G$12,0)</f>
        <v/>
      </c>
      <c r="N17" s="19">
        <f>IF(I17="si",$G$13,0)</f>
        <v/>
      </c>
      <c r="O17" s="20">
        <f>SUM(J17:N17)</f>
        <v/>
      </c>
    </row>
    <row r="18">
      <c r="A18" s="15" t="n">
        <v>2</v>
      </c>
      <c r="B18" s="15" t="inlineStr">
        <is>
          <t>Adriano Amendola</t>
        </is>
      </c>
      <c r="C18" s="16" t="inlineStr">
        <is>
          <t>Amendola 70% Vaccaro 10% Ricco 10%</t>
        </is>
      </c>
      <c r="D18" s="17" t="inlineStr">
        <is>
          <t>Docente</t>
        </is>
      </c>
      <c r="E18" s="17" t="inlineStr">
        <is>
          <t>si</t>
        </is>
      </c>
      <c r="F18" s="18" t="n">
        <v>0.7</v>
      </c>
      <c r="G18" s="17" t="inlineStr">
        <is>
          <t>si</t>
        </is>
      </c>
      <c r="H18" s="17" t="inlineStr">
        <is>
          <t>si</t>
        </is>
      </c>
      <c r="I18" s="17" t="inlineStr">
        <is>
          <t>no</t>
        </is>
      </c>
      <c r="J18" s="19">
        <f>IF(E18="si",$G$9,0)</f>
        <v/>
      </c>
      <c r="K18" s="19">
        <f>IF(E18="si",$G$10*F18,0)</f>
        <v/>
      </c>
      <c r="L18" s="19">
        <f>IF(G18="si",$G$11,0)</f>
        <v/>
      </c>
      <c r="M18" s="19">
        <f>IF(H18="si",$G$12,0)</f>
        <v/>
      </c>
      <c r="N18" s="19">
        <f>IF(I18="si",$G$13,0)</f>
        <v/>
      </c>
      <c r="O18" s="20">
        <f>SUM(J18:N18)</f>
        <v/>
      </c>
    </row>
    <row r="19">
      <c r="A19" s="15" t="n">
        <v>3</v>
      </c>
      <c r="B19" s="15" t="inlineStr">
        <is>
          <t>Angrisano</t>
        </is>
      </c>
      <c r="C19" s="16" t="inlineStr">
        <is>
          <t>Angrisano 80% Mocchi 10%</t>
        </is>
      </c>
      <c r="D19" s="17" t="inlineStr">
        <is>
          <t>Docente</t>
        </is>
      </c>
      <c r="E19" s="17" t="inlineStr">
        <is>
          <t>si</t>
        </is>
      </c>
      <c r="F19" s="18" t="n">
        <v>0.7</v>
      </c>
      <c r="G19" s="17" t="inlineStr">
        <is>
          <t>si</t>
        </is>
      </c>
      <c r="H19" s="17" t="inlineStr">
        <is>
          <t>no</t>
        </is>
      </c>
      <c r="I19" s="17" t="inlineStr">
        <is>
          <t>no</t>
        </is>
      </c>
      <c r="J19" s="19">
        <f>IF(E19="si",$G$9,0)</f>
        <v/>
      </c>
      <c r="K19" s="19">
        <f>IF(E19="si",$G$10*F19,0)</f>
        <v/>
      </c>
      <c r="L19" s="19">
        <f>IF(G19="si",$G$11,0)</f>
        <v/>
      </c>
      <c r="M19" s="19">
        <f>IF(H19="si",$G$12,0)</f>
        <v/>
      </c>
      <c r="N19" s="19">
        <f>IF(I19="si",$G$13,0)</f>
        <v/>
      </c>
      <c r="O19" s="20">
        <f>SUM(J19:N19)</f>
        <v/>
      </c>
    </row>
    <row r="20">
      <c r="A20" s="15" t="n">
        <v>4</v>
      </c>
      <c r="B20" s="15" t="inlineStr">
        <is>
          <t>Bilotta</t>
        </is>
      </c>
      <c r="C20" s="16" t="inlineStr">
        <is>
          <t>Bilotta 80% Vaccaro 5%</t>
        </is>
      </c>
      <c r="D20" s="17" t="inlineStr">
        <is>
          <t>Docente</t>
        </is>
      </c>
      <c r="E20" s="17" t="inlineStr">
        <is>
          <t>si</t>
        </is>
      </c>
      <c r="F20" s="18" t="n">
        <v>0.7</v>
      </c>
      <c r="G20" s="17" t="inlineStr">
        <is>
          <t>si</t>
        </is>
      </c>
      <c r="H20" s="17" t="inlineStr">
        <is>
          <t>no</t>
        </is>
      </c>
      <c r="I20" s="17" t="inlineStr">
        <is>
          <t>no</t>
        </is>
      </c>
      <c r="J20" s="19">
        <f>IF(E20="si",$G$9,0)</f>
        <v/>
      </c>
      <c r="K20" s="19">
        <f>IF(E20="si",$G$10*F20,0)</f>
        <v/>
      </c>
      <c r="L20" s="19">
        <f>IF(G20="si",$G$11,0)</f>
        <v/>
      </c>
      <c r="M20" s="19">
        <f>IF(H20="si",$G$12,0)</f>
        <v/>
      </c>
      <c r="N20" s="19">
        <f>IF(I20="si",$G$13,0)</f>
        <v/>
      </c>
      <c r="O20" s="20">
        <f>SUM(J20:N20)</f>
        <v/>
      </c>
    </row>
    <row r="21">
      <c r="A21" s="15" t="n">
        <v>5</v>
      </c>
      <c r="B21" s="15" t="inlineStr">
        <is>
          <t>Cammarota</t>
        </is>
      </c>
      <c r="C21" s="16" t="inlineStr">
        <is>
          <t>90% Cammarota 80% Cantillo. 90% Lo Casto 90% Tarantino 92% Tomatis</t>
        </is>
      </c>
      <c r="D21" s="17" t="inlineStr">
        <is>
          <t>Docente</t>
        </is>
      </c>
      <c r="E21" s="17" t="inlineStr">
        <is>
          <t>si</t>
        </is>
      </c>
      <c r="F21" s="18" t="n">
        <v>0.7</v>
      </c>
      <c r="G21" s="17" t="inlineStr">
        <is>
          <t>si</t>
        </is>
      </c>
      <c r="H21" s="17" t="inlineStr">
        <is>
          <t>si</t>
        </is>
      </c>
      <c r="I21" s="17" t="inlineStr">
        <is>
          <t>si</t>
        </is>
      </c>
      <c r="J21" s="19">
        <f>IF(E21="si",$G$9,0)</f>
        <v/>
      </c>
      <c r="K21" s="19">
        <f>IF(E21="si",$G$10*F21,0)</f>
        <v/>
      </c>
      <c r="L21" s="19">
        <f>IF(G21="si",$G$11,0)</f>
        <v/>
      </c>
      <c r="M21" s="19">
        <f>IF(H21="si",$G$12,0)</f>
        <v/>
      </c>
      <c r="N21" s="19">
        <f>IF(I21="si",$G$13,0)</f>
        <v/>
      </c>
      <c r="O21" s="20">
        <f>SUM(J21:N21)</f>
        <v/>
      </c>
    </row>
    <row r="22">
      <c r="A22" s="15" t="n">
        <v>6</v>
      </c>
      <c r="B22" s="15" t="inlineStr">
        <is>
          <t>Capriolo</t>
        </is>
      </c>
      <c r="C22" s="16" t="inlineStr">
        <is>
          <t>80%</t>
        </is>
      </c>
      <c r="D22" s="17" t="inlineStr">
        <is>
          <t>Docente</t>
        </is>
      </c>
      <c r="E22" s="17" t="inlineStr">
        <is>
          <t>si</t>
        </is>
      </c>
      <c r="F22" s="18" t="n">
        <v>0.7</v>
      </c>
      <c r="G22" s="17" t="inlineStr">
        <is>
          <t>si</t>
        </is>
      </c>
      <c r="H22" s="17" t="inlineStr">
        <is>
          <t>no</t>
        </is>
      </c>
      <c r="I22" s="17" t="inlineStr">
        <is>
          <t>si</t>
        </is>
      </c>
      <c r="J22" s="19">
        <f>IF(E22="si",$G$9,0)</f>
        <v/>
      </c>
      <c r="K22" s="19">
        <f>IF(E22="si",$G$10*F22,0)</f>
        <v/>
      </c>
      <c r="L22" s="19">
        <f>IF(G22="si",$G$11,0)</f>
        <v/>
      </c>
      <c r="M22" s="19">
        <f>IF(H22="si",$G$12,0)</f>
        <v/>
      </c>
      <c r="N22" s="19">
        <f>IF(I22="si",$G$13,0)</f>
        <v/>
      </c>
      <c r="O22" s="20">
        <f>SUM(J22:N22)</f>
        <v/>
      </c>
    </row>
    <row r="23">
      <c r="A23" s="15" t="n">
        <v>7</v>
      </c>
      <c r="B23" s="15" t="inlineStr">
        <is>
          <t>Dell’Acqua</t>
        </is>
      </c>
      <c r="C23" s="16" t="inlineStr">
        <is>
          <t>90%</t>
        </is>
      </c>
      <c r="D23" s="17" t="inlineStr">
        <is>
          <t>Docente</t>
        </is>
      </c>
      <c r="E23" s="17" t="inlineStr">
        <is>
          <t>si</t>
        </is>
      </c>
      <c r="F23" s="18" t="n">
        <v>0.7</v>
      </c>
      <c r="G23" s="17" t="inlineStr">
        <is>
          <t>si</t>
        </is>
      </c>
      <c r="H23" s="17" t="inlineStr">
        <is>
          <t>no</t>
        </is>
      </c>
      <c r="I23" s="17" t="inlineStr">
        <is>
          <t>si</t>
        </is>
      </c>
      <c r="J23" s="19">
        <f>IF(E23="si",$G$9,0)</f>
        <v/>
      </c>
      <c r="K23" s="19">
        <f>IF(E23="si",$G$10*F23,0)</f>
        <v/>
      </c>
      <c r="L23" s="19">
        <f>IF(G23="si",$G$11,0)</f>
        <v/>
      </c>
      <c r="M23" s="19">
        <f>IF(H23="si",$G$12,0)</f>
        <v/>
      </c>
      <c r="N23" s="19">
        <f>IF(I23="si",$G$13,0)</f>
        <v/>
      </c>
      <c r="O23" s="20">
        <f>SUM(J23:N23)</f>
        <v/>
      </c>
    </row>
    <row r="24">
      <c r="A24" s="15" t="n">
        <v>8</v>
      </c>
      <c r="B24" s="15" t="inlineStr">
        <is>
          <t>Fiorillo</t>
        </is>
      </c>
      <c r="C24" s="16" t="inlineStr">
        <is>
          <t>85% Fiorillo (esterno 5% Gagliardi)</t>
        </is>
      </c>
      <c r="D24" s="17" t="inlineStr">
        <is>
          <t>Docente</t>
        </is>
      </c>
      <c r="E24" s="17" t="inlineStr">
        <is>
          <t>si</t>
        </is>
      </c>
      <c r="F24" s="18" t="n">
        <v>0.7</v>
      </c>
      <c r="G24" s="17" t="inlineStr">
        <is>
          <t>si</t>
        </is>
      </c>
      <c r="H24" s="17" t="inlineStr">
        <is>
          <t>no</t>
        </is>
      </c>
      <c r="I24" s="17" t="inlineStr">
        <is>
          <t>si</t>
        </is>
      </c>
      <c r="J24" s="19">
        <f>IF(E24="si",$G$9,0)</f>
        <v/>
      </c>
      <c r="K24" s="19">
        <f>IF(E24="si",$G$10*F24,0)</f>
        <v/>
      </c>
      <c r="L24" s="19">
        <f>IF(G24="si",$G$11,0)</f>
        <v/>
      </c>
      <c r="M24" s="19">
        <f>IF(H24="si",$G$12,0)</f>
        <v/>
      </c>
      <c r="N24" s="19">
        <f>IF(I24="si",$G$13,0)</f>
        <v/>
      </c>
      <c r="O24" s="20">
        <f>SUM(J24:N24)</f>
        <v/>
      </c>
    </row>
    <row r="25">
      <c r="A25" s="15" t="n">
        <v>9</v>
      </c>
      <c r="B25" s="15" t="inlineStr">
        <is>
          <t>Galdi</t>
        </is>
      </c>
      <c r="C25" s="16" t="inlineStr">
        <is>
          <t>80%</t>
        </is>
      </c>
      <c r="D25" s="17" t="inlineStr">
        <is>
          <t>Docente</t>
        </is>
      </c>
      <c r="E25" s="17" t="inlineStr">
        <is>
          <t>si</t>
        </is>
      </c>
      <c r="F25" s="18" t="n">
        <v>0.7</v>
      </c>
      <c r="G25" s="17" t="inlineStr">
        <is>
          <t>si</t>
        </is>
      </c>
      <c r="H25" s="17" t="inlineStr">
        <is>
          <t>no</t>
        </is>
      </c>
      <c r="I25" s="17" t="inlineStr">
        <is>
          <t>si</t>
        </is>
      </c>
      <c r="J25" s="19">
        <f>IF(E25="si",$G$9,0)</f>
        <v/>
      </c>
      <c r="K25" s="19">
        <f>IF(E25="si",$G$10*F25,0)</f>
        <v/>
      </c>
      <c r="L25" s="19">
        <f>IF(G25="si",$G$11,0)</f>
        <v/>
      </c>
      <c r="M25" s="19">
        <f>IF(H25="si",$G$12,0)</f>
        <v/>
      </c>
      <c r="N25" s="19">
        <f>IF(I25="si",$G$13,0)</f>
        <v/>
      </c>
      <c r="O25" s="20">
        <f>SUM(J25:N25)</f>
        <v/>
      </c>
    </row>
    <row r="26">
      <c r="A26" s="15" t="n">
        <v>10</v>
      </c>
      <c r="B26" s="15" t="inlineStr">
        <is>
          <t>Gin</t>
        </is>
      </c>
      <c r="C26" s="16" t="inlineStr">
        <is>
          <t>100%</t>
        </is>
      </c>
      <c r="D26" s="17" t="inlineStr">
        <is>
          <t>Docente</t>
        </is>
      </c>
      <c r="E26" s="17" t="inlineStr">
        <is>
          <t>si</t>
        </is>
      </c>
      <c r="F26" s="18" t="n">
        <v>1</v>
      </c>
      <c r="G26" s="17" t="inlineStr">
        <is>
          <t>si</t>
        </is>
      </c>
      <c r="H26" s="17" t="inlineStr">
        <is>
          <t>no</t>
        </is>
      </c>
      <c r="I26" s="17" t="inlineStr">
        <is>
          <t>si</t>
        </is>
      </c>
      <c r="J26" s="19">
        <f>IF(E26="si",$G$9,0)</f>
        <v/>
      </c>
      <c r="K26" s="19">
        <f>IF(E26="si",$G$10*F26,0)</f>
        <v/>
      </c>
      <c r="L26" s="19">
        <f>IF(G26="si",$G$11,0)</f>
        <v/>
      </c>
      <c r="M26" s="19">
        <f>IF(H26="si",$G$12,0)</f>
        <v/>
      </c>
      <c r="N26" s="19">
        <f>IF(I26="si",$G$13,0)</f>
        <v/>
      </c>
      <c r="O26" s="20">
        <f>SUM(J26:N26)</f>
        <v/>
      </c>
    </row>
    <row r="27">
      <c r="A27" s="15" t="n">
        <v>11</v>
      </c>
      <c r="B27" s="15" t="inlineStr">
        <is>
          <t>Gorrese</t>
        </is>
      </c>
      <c r="C27" s="16" t="inlineStr">
        <is>
          <t>Gorrese 90% Esposito 95% (esterno 5% Girelli)</t>
        </is>
      </c>
      <c r="D27" s="17" t="inlineStr">
        <is>
          <t>Docente</t>
        </is>
      </c>
      <c r="E27" s="17" t="inlineStr">
        <is>
          <t>si</t>
        </is>
      </c>
      <c r="F27" s="18" t="n">
        <v>0.7</v>
      </c>
      <c r="G27" s="17" t="inlineStr">
        <is>
          <t>si</t>
        </is>
      </c>
      <c r="H27" s="17" t="inlineStr">
        <is>
          <t>si</t>
        </is>
      </c>
      <c r="I27" s="17" t="inlineStr">
        <is>
          <t>si</t>
        </is>
      </c>
      <c r="J27" s="19">
        <f>IF(E27="si",$G$9,0)</f>
        <v/>
      </c>
      <c r="K27" s="19">
        <f>IF(E27="si",$G$10*F27,0)</f>
        <v/>
      </c>
      <c r="L27" s="19">
        <f>IF(G27="si",$G$11,0)</f>
        <v/>
      </c>
      <c r="M27" s="19">
        <f>IF(H27="si",$G$12,0)</f>
        <v/>
      </c>
      <c r="N27" s="19">
        <f>IF(I27="si",$G$13,0)</f>
        <v/>
      </c>
      <c r="O27" s="20">
        <f>SUM(J27:N27)</f>
        <v/>
      </c>
    </row>
    <row r="28">
      <c r="A28" s="15" t="n">
        <v>12</v>
      </c>
      <c r="B28" s="15" t="inlineStr">
        <is>
          <t>Lambert</t>
        </is>
      </c>
      <c r="C28" s="16" t="inlineStr">
        <is>
          <t>80%</t>
        </is>
      </c>
      <c r="D28" s="17" t="inlineStr">
        <is>
          <t>Docente</t>
        </is>
      </c>
      <c r="E28" s="17" t="inlineStr">
        <is>
          <t>si</t>
        </is>
      </c>
      <c r="F28" s="18" t="n">
        <v>0.7</v>
      </c>
      <c r="G28" s="17" t="inlineStr">
        <is>
          <t>si</t>
        </is>
      </c>
      <c r="H28" s="17" t="inlineStr">
        <is>
          <t>no</t>
        </is>
      </c>
      <c r="I28" s="17" t="inlineStr">
        <is>
          <t>si</t>
        </is>
      </c>
      <c r="J28" s="19">
        <f>IF(E28="si",$G$9,0)</f>
        <v/>
      </c>
      <c r="K28" s="19">
        <f>IF(E28="si",$G$10*F28,0)</f>
        <v/>
      </c>
      <c r="L28" s="19">
        <f>IF(G28="si",$G$11,0)</f>
        <v/>
      </c>
      <c r="M28" s="19">
        <f>IF(H28="si",$G$12,0)</f>
        <v/>
      </c>
      <c r="N28" s="19">
        <f>IF(I28="si",$G$13,0)</f>
        <v/>
      </c>
      <c r="O28" s="20">
        <f>SUM(J28:N28)</f>
        <v/>
      </c>
    </row>
    <row r="29">
      <c r="A29" s="15" t="n">
        <v>13</v>
      </c>
      <c r="B29" s="15" t="inlineStr">
        <is>
          <t>Enza Lamberti</t>
        </is>
      </c>
      <c r="C29" s="16" t="inlineStr">
        <is>
          <t>Lamberti 90% Lambert 10% (esterno Giulio 3%)</t>
        </is>
      </c>
      <c r="D29" s="17" t="inlineStr">
        <is>
          <t>Docente</t>
        </is>
      </c>
      <c r="E29" s="17" t="inlineStr">
        <is>
          <t>si</t>
        </is>
      </c>
      <c r="F29" s="18" t="n">
        <v>0.4</v>
      </c>
      <c r="G29" s="17" t="inlineStr">
        <is>
          <t>si</t>
        </is>
      </c>
      <c r="H29" s="17" t="inlineStr">
        <is>
          <t>si</t>
        </is>
      </c>
      <c r="I29" s="17" t="inlineStr">
        <is>
          <t>no</t>
        </is>
      </c>
      <c r="J29" s="19">
        <f>IF(E29="si",$G$9,0)</f>
        <v/>
      </c>
      <c r="K29" s="19">
        <f>IF(E29="si",$G$10*F29,0)</f>
        <v/>
      </c>
      <c r="L29" s="19">
        <f>IF(G29="si",$G$11,0)</f>
        <v/>
      </c>
      <c r="M29" s="19">
        <f>IF(H29="si",$G$12,0)</f>
        <v/>
      </c>
      <c r="N29" s="19">
        <f>IF(I29="si",$G$13,0)</f>
        <v/>
      </c>
      <c r="O29" s="20">
        <f>SUM(J29:N29)</f>
        <v/>
      </c>
    </row>
    <row r="30">
      <c r="A30" s="15" t="n">
        <v>14</v>
      </c>
      <c r="B30" s="15" t="inlineStr">
        <is>
          <t>Longo</t>
        </is>
      </c>
      <c r="C30" s="16" t="inlineStr">
        <is>
          <t>Longo 80% Musmeci 5% Pardini 10%</t>
        </is>
      </c>
      <c r="D30" s="17" t="inlineStr">
        <is>
          <t>Docente</t>
        </is>
      </c>
      <c r="E30" s="17" t="inlineStr">
        <is>
          <t>si</t>
        </is>
      </c>
      <c r="F30" s="18" t="n">
        <v>0.7</v>
      </c>
      <c r="G30" s="17" t="inlineStr">
        <is>
          <t>si</t>
        </is>
      </c>
      <c r="H30" s="17" t="inlineStr">
        <is>
          <t>si</t>
        </is>
      </c>
      <c r="I30" s="17" t="inlineStr">
        <is>
          <t>no</t>
        </is>
      </c>
      <c r="J30" s="19">
        <f>IF(E30="si",$G$9,0)</f>
        <v/>
      </c>
      <c r="K30" s="19">
        <f>IF(E30="si",$G$10*F30,0)</f>
        <v/>
      </c>
      <c r="L30" s="19">
        <f>IF(G30="si",$G$11,0)</f>
        <v/>
      </c>
      <c r="M30" s="19">
        <f>IF(H30="si",$G$12,0)</f>
        <v/>
      </c>
      <c r="N30" s="19">
        <f>IF(I30="si",$G$13,0)</f>
        <v/>
      </c>
      <c r="O30" s="20">
        <f>SUM(J30:N30)</f>
        <v/>
      </c>
    </row>
    <row r="31">
      <c r="A31" s="15" t="n">
        <v>15</v>
      </c>
      <c r="B31" s="15" t="inlineStr">
        <is>
          <t>Maiorino</t>
        </is>
      </c>
      <c r="C31" s="16" t="inlineStr">
        <is>
          <t>Maiorino 90% Trotta 60% Zuliani 90%</t>
        </is>
      </c>
      <c r="D31" s="17" t="inlineStr">
        <is>
          <t>Docente</t>
        </is>
      </c>
      <c r="E31" s="17" t="inlineStr">
        <is>
          <t>si</t>
        </is>
      </c>
      <c r="F31" s="18" t="n">
        <v>0.7</v>
      </c>
      <c r="G31" s="17" t="inlineStr">
        <is>
          <t>si</t>
        </is>
      </c>
      <c r="H31" s="17" t="inlineStr">
        <is>
          <t>si</t>
        </is>
      </c>
      <c r="I31" s="17" t="inlineStr">
        <is>
          <t>si</t>
        </is>
      </c>
      <c r="J31" s="19">
        <f>IF(E31="si",$G$9,0)</f>
        <v/>
      </c>
      <c r="K31" s="19">
        <f>IF(E31="si",$G$10*F31,0)</f>
        <v/>
      </c>
      <c r="L31" s="19">
        <f>IF(G31="si",$G$11,0)</f>
        <v/>
      </c>
      <c r="M31" s="19">
        <f>IF(H31="si",$G$12,0)</f>
        <v/>
      </c>
      <c r="N31" s="19">
        <f>IF(I31="si",$G$13,0)</f>
        <v/>
      </c>
      <c r="O31" s="20">
        <f>SUM(J31:N31)</f>
        <v/>
      </c>
    </row>
    <row r="32">
      <c r="A32" s="15" t="n">
        <v>16</v>
      </c>
      <c r="B32" s="15" t="inlineStr">
        <is>
          <t>Menichetti</t>
        </is>
      </c>
      <c r="C32" s="16" t="inlineStr">
        <is>
          <t>Menichetti 90% Guerriero 20% Scafuro 90% Serritella 90% Vecchio 90%</t>
        </is>
      </c>
      <c r="D32" s="17" t="inlineStr">
        <is>
          <t>Docente</t>
        </is>
      </c>
      <c r="E32" s="17" t="inlineStr">
        <is>
          <t>si</t>
        </is>
      </c>
      <c r="F32" s="18" t="n">
        <v>0.7</v>
      </c>
      <c r="G32" s="17" t="inlineStr">
        <is>
          <t>si</t>
        </is>
      </c>
      <c r="H32" s="17" t="inlineStr">
        <is>
          <t>si</t>
        </is>
      </c>
      <c r="I32" s="17" t="inlineStr">
        <is>
          <t>si</t>
        </is>
      </c>
      <c r="J32" s="19">
        <f>IF(E32="si",$G$9,0)</f>
        <v/>
      </c>
      <c r="K32" s="19">
        <f>IF(E32="si",$G$10*F32,0)</f>
        <v/>
      </c>
      <c r="L32" s="19">
        <f>IF(G32="si",$G$11,0)</f>
        <v/>
      </c>
      <c r="M32" s="19">
        <f>IF(H32="si",$G$12,0)</f>
        <v/>
      </c>
      <c r="N32" s="19">
        <f>IF(I32="si",$G$13,0)</f>
        <v/>
      </c>
      <c r="O32" s="20">
        <f>SUM(J32:N32)</f>
        <v/>
      </c>
    </row>
    <row r="33">
      <c r="A33" s="15" t="n">
        <v>17</v>
      </c>
      <c r="B33" s="15" t="inlineStr">
        <is>
          <t>Mocchi</t>
        </is>
      </c>
      <c r="C33" s="16" t="inlineStr">
        <is>
          <t>Angrisano 10% Mocchi 80% Passaro 60%</t>
        </is>
      </c>
      <c r="D33" s="17" t="inlineStr">
        <is>
          <t>Docente</t>
        </is>
      </c>
      <c r="E33" s="17" t="inlineStr">
        <is>
          <t>si</t>
        </is>
      </c>
      <c r="F33" s="18" t="n">
        <v>0.7</v>
      </c>
      <c r="G33" s="17" t="inlineStr">
        <is>
          <t>si</t>
        </is>
      </c>
      <c r="H33" s="17" t="inlineStr">
        <is>
          <t>si</t>
        </is>
      </c>
      <c r="I33" s="17" t="inlineStr">
        <is>
          <t>no</t>
        </is>
      </c>
      <c r="J33" s="19">
        <f>IF(E33="si",$G$9,0)</f>
        <v/>
      </c>
      <c r="K33" s="19">
        <f>IF(E33="si",$G$10*F33,0)</f>
        <v/>
      </c>
      <c r="L33" s="19">
        <f>IF(G33="si",$G$11,0)</f>
        <v/>
      </c>
      <c r="M33" s="19">
        <f>IF(H33="si",$G$12,0)</f>
        <v/>
      </c>
      <c r="N33" s="19">
        <f>IF(I33="si",$G$13,0)</f>
        <v/>
      </c>
      <c r="O33" s="20">
        <f>SUM(J33:N33)</f>
        <v/>
      </c>
    </row>
    <row r="34">
      <c r="A34" s="15" t="n">
        <v>18</v>
      </c>
      <c r="B34" s="15" t="inlineStr">
        <is>
          <t>Monaco</t>
        </is>
      </c>
      <c r="C34" s="16" t="inlineStr">
        <is>
          <t>Monaco 90% Bisogno 80%</t>
        </is>
      </c>
      <c r="D34" s="17" t="inlineStr">
        <is>
          <t>Docente</t>
        </is>
      </c>
      <c r="E34" s="17" t="inlineStr">
        <is>
          <t>si</t>
        </is>
      </c>
      <c r="F34" s="18" t="n">
        <v>0.7</v>
      </c>
      <c r="G34" s="17" t="inlineStr">
        <is>
          <t>si</t>
        </is>
      </c>
      <c r="H34" s="17" t="inlineStr">
        <is>
          <t>no</t>
        </is>
      </c>
      <c r="I34" s="17" t="inlineStr">
        <is>
          <t>si</t>
        </is>
      </c>
      <c r="J34" s="19">
        <f>IF(E34="si",$G$9,0)</f>
        <v/>
      </c>
      <c r="K34" s="19">
        <f>IF(E34="si",$G$10*F34,0)</f>
        <v/>
      </c>
      <c r="L34" s="19">
        <f>IF(G34="si",$G$11,0)</f>
        <v/>
      </c>
      <c r="M34" s="19">
        <f>IF(H34="si",$G$12,0)</f>
        <v/>
      </c>
      <c r="N34" s="19">
        <f>IF(I34="si",$G$13,0)</f>
        <v/>
      </c>
      <c r="O34" s="20">
        <f>SUM(J34:N34)</f>
        <v/>
      </c>
    </row>
    <row r="35">
      <c r="A35" s="15" t="n">
        <v>19</v>
      </c>
      <c r="B35" s="15" t="inlineStr">
        <is>
          <t>Napoli</t>
        </is>
      </c>
      <c r="C35" s="16" t="inlineStr">
        <is>
          <t>Napoli 95% Passaro 30%</t>
        </is>
      </c>
      <c r="D35" s="17" t="inlineStr">
        <is>
          <t>Docente</t>
        </is>
      </c>
      <c r="E35" s="17" t="inlineStr">
        <is>
          <t>si</t>
        </is>
      </c>
      <c r="F35" s="18" t="n">
        <v>0.4</v>
      </c>
      <c r="G35" s="17" t="inlineStr">
        <is>
          <t>si</t>
        </is>
      </c>
      <c r="H35" s="17" t="inlineStr">
        <is>
          <t>no</t>
        </is>
      </c>
      <c r="I35" s="17" t="inlineStr">
        <is>
          <t>no</t>
        </is>
      </c>
      <c r="J35" s="19">
        <f>IF(E35="si",$G$9,0)</f>
        <v/>
      </c>
      <c r="K35" s="19">
        <f>IF(E35="si",$G$10*F35,0)</f>
        <v/>
      </c>
      <c r="L35" s="19">
        <f>IF(G35="si",$G$11,0)</f>
        <v/>
      </c>
      <c r="M35" s="19">
        <f>IF(H35="si",$G$12,0)</f>
        <v/>
      </c>
      <c r="N35" s="19">
        <f>IF(I35="si",$G$13,0)</f>
        <v/>
      </c>
      <c r="O35" s="20">
        <f>SUM(J35:N35)</f>
        <v/>
      </c>
    </row>
    <row r="36">
      <c r="A36" s="15" t="n">
        <v>20</v>
      </c>
      <c r="B36" s="15" t="inlineStr">
        <is>
          <t>Pardini</t>
        </is>
      </c>
      <c r="C36" s="16" t="inlineStr">
        <is>
          <t>Pardini 80% Longo 10%</t>
        </is>
      </c>
      <c r="D36" s="17" t="inlineStr">
        <is>
          <t>Docente</t>
        </is>
      </c>
      <c r="E36" s="17" t="inlineStr">
        <is>
          <t>si</t>
        </is>
      </c>
      <c r="F36" s="18" t="n">
        <v>0.7</v>
      </c>
      <c r="G36" s="17" t="inlineStr">
        <is>
          <t>si</t>
        </is>
      </c>
      <c r="H36" s="17" t="inlineStr">
        <is>
          <t>no</t>
        </is>
      </c>
      <c r="I36" s="17" t="inlineStr">
        <is>
          <t>no</t>
        </is>
      </c>
      <c r="J36" s="19">
        <f>IF(E36="si",$G$9,0)</f>
        <v/>
      </c>
      <c r="K36" s="19">
        <f>IF(E36="si",$G$10*F36,0)</f>
        <v/>
      </c>
      <c r="L36" s="19">
        <f>IF(G36="si",$G$11,0)</f>
        <v/>
      </c>
      <c r="M36" s="19">
        <f>IF(H36="si",$G$12,0)</f>
        <v/>
      </c>
      <c r="N36" s="19">
        <f>IF(I36="si",$G$13,0)</f>
        <v/>
      </c>
      <c r="O36" s="20">
        <f>SUM(J36:N36)</f>
        <v/>
      </c>
    </row>
    <row r="37">
      <c r="A37" s="15" t="n">
        <v>21</v>
      </c>
      <c r="B37" s="15" t="inlineStr">
        <is>
          <t>Pellegrino</t>
        </is>
      </c>
      <c r="C37" s="16" t="inlineStr">
        <is>
          <t>Pellegrino 90% Mugione 90% Musmeci 85% Santoriello 90%</t>
        </is>
      </c>
      <c r="D37" s="17" t="inlineStr">
        <is>
          <t>Docente</t>
        </is>
      </c>
      <c r="E37" s="17" t="inlineStr">
        <is>
          <t>si</t>
        </is>
      </c>
      <c r="F37" s="18" t="n">
        <v>0.7</v>
      </c>
      <c r="G37" s="17" t="inlineStr">
        <is>
          <t>si</t>
        </is>
      </c>
      <c r="H37" s="17" t="inlineStr">
        <is>
          <t>si</t>
        </is>
      </c>
      <c r="I37" s="17" t="inlineStr">
        <is>
          <t>si</t>
        </is>
      </c>
      <c r="J37" s="19">
        <f>IF(E37="si",$G$9,0)</f>
        <v/>
      </c>
      <c r="K37" s="19">
        <f>IF(E37="si",$G$10*F37,0)</f>
        <v/>
      </c>
      <c r="L37" s="19">
        <f>IF(G37="si",$G$11,0)</f>
        <v/>
      </c>
      <c r="M37" s="19">
        <f>IF(H37="si",$G$12,0)</f>
        <v/>
      </c>
      <c r="N37" s="19">
        <f>IF(I37="si",$G$13,0)</f>
        <v/>
      </c>
      <c r="O37" s="20">
        <f>SUM(J37:N37)</f>
        <v/>
      </c>
    </row>
    <row r="38">
      <c r="A38" s="15" t="n">
        <v>22</v>
      </c>
      <c r="B38" s="15" t="inlineStr">
        <is>
          <t>Pistoia</t>
        </is>
      </c>
      <c r="C38" s="16" t="inlineStr">
        <is>
          <t>Frasca 90% Locanto 95% Palmieri 95% Pistoia 95%</t>
        </is>
      </c>
      <c r="D38" s="17" t="inlineStr">
        <is>
          <t>Docente</t>
        </is>
      </c>
      <c r="E38" s="17" t="inlineStr">
        <is>
          <t>si</t>
        </is>
      </c>
      <c r="F38" s="18" t="n">
        <v>0.7</v>
      </c>
      <c r="G38" s="17" t="inlineStr">
        <is>
          <t>si</t>
        </is>
      </c>
      <c r="H38" s="17" t="inlineStr">
        <is>
          <t>si</t>
        </is>
      </c>
      <c r="I38" s="17" t="inlineStr">
        <is>
          <t>si</t>
        </is>
      </c>
      <c r="J38" s="19">
        <f>IF(E38="si",$G$9,0)</f>
        <v/>
      </c>
      <c r="K38" s="19">
        <f>IF(E38="si",$G$10*F38,0)</f>
        <v/>
      </c>
      <c r="L38" s="19">
        <f>IF(G38="si",$G$11,0)</f>
        <v/>
      </c>
      <c r="M38" s="19">
        <f>IF(H38="si",$G$12,0)</f>
        <v/>
      </c>
      <c r="N38" s="19">
        <f>IF(I38="si",$G$13,0)</f>
        <v/>
      </c>
      <c r="O38" s="20">
        <f>SUM(J38:N38)</f>
        <v/>
      </c>
    </row>
    <row r="39">
      <c r="A39" s="15" t="n">
        <v>23</v>
      </c>
      <c r="B39" s="15" t="inlineStr">
        <is>
          <t>Regnoli</t>
        </is>
      </c>
      <c r="C39" s="16" t="inlineStr">
        <is>
          <t>Regnoli 92% (esterni Aiello 1% Calabrese 1% Latorraca 1%)</t>
        </is>
      </c>
      <c r="D39" s="17" t="inlineStr">
        <is>
          <t>Docente</t>
        </is>
      </c>
      <c r="E39" s="17" t="inlineStr">
        <is>
          <t>si</t>
        </is>
      </c>
      <c r="F39" s="18" t="n">
        <v>0.7</v>
      </c>
      <c r="G39" s="17" t="inlineStr">
        <is>
          <t>si</t>
        </is>
      </c>
      <c r="H39" s="17" t="inlineStr">
        <is>
          <t>si</t>
        </is>
      </c>
      <c r="I39" s="17" t="inlineStr">
        <is>
          <t>si</t>
        </is>
      </c>
      <c r="J39" s="19">
        <f>IF(E39="si",$G$9,0)</f>
        <v/>
      </c>
      <c r="K39" s="19">
        <f>IF(E39="si",$G$10*F39,0)</f>
        <v/>
      </c>
      <c r="L39" s="19">
        <f>IF(G39="si",$G$11,0)</f>
        <v/>
      </c>
      <c r="M39" s="19">
        <f>IF(H39="si",$G$12,0)</f>
        <v/>
      </c>
      <c r="N39" s="19">
        <f>IF(I39="si",$G$13,0)</f>
        <v/>
      </c>
      <c r="O39" s="20">
        <f>SUM(J39:N39)</f>
        <v/>
      </c>
    </row>
    <row r="40">
      <c r="A40" s="15" t="n">
        <v>24</v>
      </c>
      <c r="B40" s="15" t="inlineStr">
        <is>
          <t>Riccio</t>
        </is>
      </c>
      <c r="C40" s="16" t="inlineStr">
        <is>
          <t>Riccio 65% (esterni Esposito 35% Sica 5% Parisi 5%)</t>
        </is>
      </c>
      <c r="D40" s="17" t="inlineStr">
        <is>
          <t>Docente</t>
        </is>
      </c>
      <c r="E40" s="17" t="inlineStr">
        <is>
          <t>si</t>
        </is>
      </c>
      <c r="F40" s="18" t="n">
        <v>0.4</v>
      </c>
      <c r="G40" s="17" t="inlineStr">
        <is>
          <t>no</t>
        </is>
      </c>
      <c r="H40" s="17" t="inlineStr">
        <is>
          <t>si</t>
        </is>
      </c>
      <c r="I40" s="17" t="inlineStr">
        <is>
          <t>no</t>
        </is>
      </c>
      <c r="J40" s="19">
        <f>IF(E40="si",$G$9,0)</f>
        <v/>
      </c>
      <c r="K40" s="19">
        <f>IF(E40="si",$G$10*F40,0)</f>
        <v/>
      </c>
      <c r="L40" s="19">
        <f>IF(G40="si",$G$11,0)</f>
        <v/>
      </c>
      <c r="M40" s="19">
        <f>IF(H40="si",$G$12,0)</f>
        <v/>
      </c>
      <c r="N40" s="19">
        <f>IF(I40="si",$G$13,0)</f>
        <v/>
      </c>
      <c r="O40" s="20">
        <f>SUM(J40:N40)</f>
        <v/>
      </c>
    </row>
    <row r="41">
      <c r="A41" s="15" t="n">
        <v>25</v>
      </c>
      <c r="B41" s="15" t="inlineStr">
        <is>
          <t>Ricco</t>
        </is>
      </c>
      <c r="C41" s="16" t="inlineStr">
        <is>
          <t>Amendola 10% Ricco 80%</t>
        </is>
      </c>
      <c r="D41" s="17" t="inlineStr">
        <is>
          <t>Docente</t>
        </is>
      </c>
      <c r="E41" s="17" t="inlineStr">
        <is>
          <t>si</t>
        </is>
      </c>
      <c r="F41" s="18" t="n">
        <v>1</v>
      </c>
      <c r="G41" s="17" t="inlineStr">
        <is>
          <t>si</t>
        </is>
      </c>
      <c r="H41" s="17" t="inlineStr">
        <is>
          <t>no</t>
        </is>
      </c>
      <c r="I41" s="17" t="inlineStr">
        <is>
          <t>no</t>
        </is>
      </c>
      <c r="J41" s="19">
        <f>IF(E41="si",$G$9,0)</f>
        <v/>
      </c>
      <c r="K41" s="19">
        <f>IF(E41="si",$G$10*F41,0)</f>
        <v/>
      </c>
      <c r="L41" s="19">
        <f>IF(G41="si",$G$11,0)</f>
        <v/>
      </c>
      <c r="M41" s="19">
        <f>IF(H41="si",$G$12,0)</f>
        <v/>
      </c>
      <c r="N41" s="19">
        <f>IF(I41="si",$G$13,0)</f>
        <v/>
      </c>
      <c r="O41" s="20">
        <f>SUM(J41:N41)</f>
        <v/>
      </c>
    </row>
    <row r="42">
      <c r="A42" s="15" t="n">
        <v>26</v>
      </c>
      <c r="B42" s="15" t="inlineStr">
        <is>
          <t>Russo</t>
        </is>
      </c>
      <c r="C42" s="16" t="inlineStr">
        <is>
          <t>Russo 95% De Filippis 95% Serra 95% Vitale 95%</t>
        </is>
      </c>
      <c r="D42" s="17" t="inlineStr">
        <is>
          <t>Docente</t>
        </is>
      </c>
      <c r="E42" s="17" t="inlineStr">
        <is>
          <t>si</t>
        </is>
      </c>
      <c r="F42" s="18" t="n">
        <v>0.7</v>
      </c>
      <c r="G42" s="17" t="inlineStr">
        <is>
          <t>si</t>
        </is>
      </c>
      <c r="H42" s="17" t="inlineStr">
        <is>
          <t>si</t>
        </is>
      </c>
      <c r="I42" s="17" t="inlineStr">
        <is>
          <t>si</t>
        </is>
      </c>
      <c r="J42" s="19">
        <f>IF(E42="si",$G$9,0)</f>
        <v/>
      </c>
      <c r="K42" s="19">
        <f>IF(E42="si",$G$10*F42,0)</f>
        <v/>
      </c>
      <c r="L42" s="19">
        <f>IF(G42="si",$G$11,0)</f>
        <v/>
      </c>
      <c r="M42" s="19">
        <f>IF(H42="si",$G$12,0)</f>
        <v/>
      </c>
      <c r="N42" s="19">
        <f>IF(I42="si",$G$13,0)</f>
        <v/>
      </c>
      <c r="O42" s="20">
        <f>SUM(J42:N42)</f>
        <v/>
      </c>
    </row>
    <row r="43">
      <c r="A43" s="15" t="n">
        <v>27</v>
      </c>
      <c r="B43" s="15" t="inlineStr">
        <is>
          <t>Salvatore</t>
        </is>
      </c>
      <c r="C43" s="16" t="inlineStr">
        <is>
          <t>90%</t>
        </is>
      </c>
      <c r="D43" s="17" t="inlineStr">
        <is>
          <t>Docente</t>
        </is>
      </c>
      <c r="E43" s="17" t="inlineStr">
        <is>
          <t>si</t>
        </is>
      </c>
      <c r="F43" s="18" t="n">
        <v>0.7</v>
      </c>
      <c r="G43" s="17" t="inlineStr">
        <is>
          <t>si</t>
        </is>
      </c>
      <c r="H43" s="17" t="inlineStr">
        <is>
          <t>no</t>
        </is>
      </c>
      <c r="I43" s="17" t="inlineStr">
        <is>
          <t>si</t>
        </is>
      </c>
      <c r="J43" s="19">
        <f>IF(E43="si",$G$9,0)</f>
        <v/>
      </c>
      <c r="K43" s="19">
        <f>IF(E43="si",$G$10*F43,0)</f>
        <v/>
      </c>
      <c r="L43" s="19">
        <f>IF(G43="si",$G$11,0)</f>
        <v/>
      </c>
      <c r="M43" s="19">
        <f>IF(H43="si",$G$12,0)</f>
        <v/>
      </c>
      <c r="N43" s="19">
        <f>IF(I43="si",$G$13,0)</f>
        <v/>
      </c>
      <c r="O43" s="20">
        <f>SUM(J43:N43)</f>
        <v/>
      </c>
    </row>
    <row r="44">
      <c r="A44" s="15" t="n">
        <v>28</v>
      </c>
      <c r="B44" s="15" t="inlineStr">
        <is>
          <t>Santoro</t>
        </is>
      </c>
      <c r="C44" s="16" t="inlineStr">
        <is>
          <t>90%</t>
        </is>
      </c>
      <c r="D44" s="17" t="inlineStr">
        <is>
          <t>Docente</t>
        </is>
      </c>
      <c r="E44" s="17" t="inlineStr">
        <is>
          <t>si</t>
        </is>
      </c>
      <c r="F44" s="18" t="n">
        <v>0.7</v>
      </c>
      <c r="G44" s="17" t="inlineStr">
        <is>
          <t>si</t>
        </is>
      </c>
      <c r="H44" s="17" t="inlineStr">
        <is>
          <t>no</t>
        </is>
      </c>
      <c r="I44" s="17" t="inlineStr">
        <is>
          <t>si</t>
        </is>
      </c>
      <c r="J44" s="19">
        <f>IF(E44="si",$G$9,0)</f>
        <v/>
      </c>
      <c r="K44" s="19">
        <f>IF(E44="si",$G$10*F44,0)</f>
        <v/>
      </c>
      <c r="L44" s="19">
        <f>IF(G44="si",$G$11,0)</f>
        <v/>
      </c>
      <c r="M44" s="19">
        <f>IF(H44="si",$G$12,0)</f>
        <v/>
      </c>
      <c r="N44" s="19">
        <f>IF(I44="si",$G$13,0)</f>
        <v/>
      </c>
      <c r="O44" s="20">
        <f>SUM(J44:N44)</f>
        <v/>
      </c>
    </row>
    <row r="45">
      <c r="A45" s="15" t="n">
        <v>29</v>
      </c>
      <c r="B45" s="15" t="inlineStr">
        <is>
          <t>Sapienza</t>
        </is>
      </c>
      <c r="C45" s="16" t="inlineStr">
        <is>
          <t>D’Arienzo 90% Egidio 90% Innamorati 90% Sapienza 90%</t>
        </is>
      </c>
      <c r="D45" s="17" t="inlineStr">
        <is>
          <t>Docente</t>
        </is>
      </c>
      <c r="E45" s="17" t="inlineStr">
        <is>
          <t>si</t>
        </is>
      </c>
      <c r="F45" s="18" t="n">
        <v>0.7</v>
      </c>
      <c r="G45" s="17" t="inlineStr">
        <is>
          <t>si</t>
        </is>
      </c>
      <c r="H45" s="17" t="inlineStr">
        <is>
          <t>si</t>
        </is>
      </c>
      <c r="I45" s="17" t="inlineStr">
        <is>
          <t>si</t>
        </is>
      </c>
      <c r="J45" s="19">
        <f>IF(E45="si",$G$9,0)</f>
        <v/>
      </c>
      <c r="K45" s="19">
        <f>IF(E45="si",$G$10*F45,0)</f>
        <v/>
      </c>
      <c r="L45" s="19">
        <f>IF(G45="si",$G$11,0)</f>
        <v/>
      </c>
      <c r="M45" s="19">
        <f>IF(H45="si",$G$12,0)</f>
        <v/>
      </c>
      <c r="N45" s="19">
        <f>IF(I45="si",$G$13,0)</f>
        <v/>
      </c>
      <c r="O45" s="20">
        <f>SUM(J45:N45)</f>
        <v/>
      </c>
    </row>
    <row r="46">
      <c r="A46" s="15" t="n">
        <v>30</v>
      </c>
      <c r="B46" s="15" t="inlineStr">
        <is>
          <t>Vaccaro</t>
        </is>
      </c>
      <c r="C46" s="16" t="inlineStr">
        <is>
          <t>Amendola 10% Bilotta 10% Vaccaro 70%</t>
        </is>
      </c>
      <c r="D46" s="17" t="inlineStr">
        <is>
          <t>Docente</t>
        </is>
      </c>
      <c r="E46" s="17" t="inlineStr">
        <is>
          <t>si</t>
        </is>
      </c>
      <c r="F46" s="18" t="n">
        <v>0.7</v>
      </c>
      <c r="G46" s="17" t="inlineStr">
        <is>
          <t>si</t>
        </is>
      </c>
      <c r="H46" s="17" t="inlineStr">
        <is>
          <t>si</t>
        </is>
      </c>
      <c r="I46" s="17" t="inlineStr">
        <is>
          <t>no</t>
        </is>
      </c>
      <c r="J46" s="19">
        <f>IF(E46="si",$G$9,0)</f>
        <v/>
      </c>
      <c r="K46" s="19">
        <f>IF(E46="si",$G$10*F46,0)</f>
        <v/>
      </c>
      <c r="L46" s="19">
        <f>IF(G46="si",$G$11,0)</f>
        <v/>
      </c>
      <c r="M46" s="19">
        <f>IF(H46="si",$G$12,0)</f>
        <v/>
      </c>
      <c r="N46" s="19">
        <f>IF(I46="si",$G$13,0)</f>
        <v/>
      </c>
      <c r="O46" s="20">
        <f>SUM(J46:N46)</f>
        <v/>
      </c>
    </row>
    <row r="47">
      <c r="A47" s="15" t="n">
        <v>31</v>
      </c>
      <c r="B47" s="15" t="inlineStr">
        <is>
          <t>Marino</t>
        </is>
      </c>
      <c r="C47" s="16" t="inlineStr">
        <is>
          <t>95%</t>
        </is>
      </c>
      <c r="D47" s="17" t="inlineStr">
        <is>
          <t>FARB DiSPaC</t>
        </is>
      </c>
      <c r="E47" s="17" t="inlineStr">
        <is>
          <t>si</t>
        </is>
      </c>
      <c r="F47" s="18" t="n">
        <v>1</v>
      </c>
      <c r="G47" s="17" t="inlineStr">
        <is>
          <t>si</t>
        </is>
      </c>
      <c r="H47" s="17" t="inlineStr">
        <is>
          <t>no</t>
        </is>
      </c>
      <c r="I47" s="17" t="inlineStr">
        <is>
          <t>si</t>
        </is>
      </c>
      <c r="J47" s="19">
        <f>IF(E47="si",$G$9,0)</f>
        <v/>
      </c>
      <c r="K47" s="19">
        <f>IF(E47="si",$G$10*F47,0)</f>
        <v/>
      </c>
      <c r="L47" s="19">
        <f>IF(G47="si",$G$11,0)</f>
        <v/>
      </c>
      <c r="M47" s="19">
        <f>IF(H47="si",$G$12,0)</f>
        <v/>
      </c>
      <c r="N47" s="19">
        <f>IF(I47="si",$G$13,0)</f>
        <v/>
      </c>
      <c r="O47" s="20">
        <f>SUM(J47:N47)</f>
        <v/>
      </c>
    </row>
    <row r="48">
      <c r="A48" s="15" t="n">
        <v>32</v>
      </c>
      <c r="B48" s="15" t="inlineStr">
        <is>
          <t>Santaniello</t>
        </is>
      </c>
      <c r="C48" s="16" t="inlineStr">
        <is>
          <t>Santaniello 70% Amodio 95% Trotta 35%</t>
        </is>
      </c>
      <c r="D48" s="17" t="inlineStr">
        <is>
          <t>FARB DiSPaC</t>
        </is>
      </c>
      <c r="E48" s="17" t="inlineStr">
        <is>
          <t>si</t>
        </is>
      </c>
      <c r="F48" s="18" t="n">
        <v>0.7</v>
      </c>
      <c r="G48" s="17" t="inlineStr">
        <is>
          <t>si</t>
        </is>
      </c>
      <c r="H48" s="17" t="inlineStr">
        <is>
          <t>si</t>
        </is>
      </c>
      <c r="I48" s="17" t="inlineStr">
        <is>
          <t>no</t>
        </is>
      </c>
      <c r="J48" s="19">
        <f>IF(E48="si",$G$9,0)</f>
        <v/>
      </c>
      <c r="K48" s="19">
        <f>IF(E48="si",$G$10*F48,0)</f>
        <v/>
      </c>
      <c r="L48" s="19">
        <f>IF(G48="si",$G$11,0)</f>
        <v/>
      </c>
      <c r="M48" s="19">
        <f>IF(H48="si",$G$12,0)</f>
        <v/>
      </c>
      <c r="N48" s="19">
        <f>IF(I48="si",$G$13,0)</f>
        <v/>
      </c>
      <c r="O48" s="20">
        <f>SUM(J48:N48)</f>
        <v/>
      </c>
    </row>
    <row r="49">
      <c r="A49" s="21" t="n"/>
      <c r="B49" s="21" t="inlineStr">
        <is>
          <t>TOTALE</t>
        </is>
      </c>
      <c r="C49" s="21" t="n"/>
      <c r="D49" s="21" t="n"/>
      <c r="E49" s="21" t="n"/>
      <c r="F49" s="21" t="n"/>
      <c r="G49" s="21" t="n"/>
      <c r="H49" s="21" t="n"/>
      <c r="I49" s="21" t="n"/>
      <c r="J49" s="22">
        <f>SUM(J17:J48)</f>
        <v/>
      </c>
      <c r="K49" s="22">
        <f>SUM(K17:K48)</f>
        <v/>
      </c>
      <c r="L49" s="22">
        <f>SUM(L17:L48)</f>
        <v/>
      </c>
      <c r="M49" s="22">
        <f>SUM(M17:M48)</f>
        <v/>
      </c>
      <c r="N49" s="22">
        <f>SUM(N17:N48)</f>
        <v/>
      </c>
      <c r="O49" s="22">
        <f>SUM(O17:O48)</f>
        <v/>
      </c>
    </row>
    <row r="51">
      <c r="B51" s="23" t="inlineStr">
        <is>
          <t>RIEPILOGO</t>
        </is>
      </c>
    </row>
    <row r="52">
      <c r="B52" s="24" t="inlineStr">
        <is>
          <t>FARB DiSPaC · quota 10%</t>
        </is>
      </c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6">
        <f>$E$8</f>
        <v/>
      </c>
      <c r="N52" s="25" t="n"/>
      <c r="O52" s="25" t="n"/>
    </row>
    <row r="53">
      <c r="B53" s="24" t="inlineStr">
        <is>
          <t>+ progetti che confluiscono nel FARB DiSPaC</t>
        </is>
      </c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6">
        <f>SUMIF($D$17:$D$48,"FARB DiSPaC",$O$17:$O$48)</f>
        <v/>
      </c>
      <c r="N53" s="25" t="n"/>
      <c r="O53" s="25" t="n"/>
    </row>
    <row r="54">
      <c r="B54" s="27">
        <f> FARB DiSPaC complessivo</f>
        <v/>
      </c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9">
        <f>M52+M53</f>
        <v/>
      </c>
      <c r="N54" s="28" t="n"/>
      <c r="O54" s="28" t="n"/>
    </row>
    <row r="55">
      <c r="B55" s="24" t="inlineStr">
        <is>
          <t>Assegnato ai docenti proponenti</t>
        </is>
      </c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6">
        <f>SUMIF($D$17:$D$48,"Docente",$O$17:$O$48)</f>
        <v/>
      </c>
      <c r="N55" s="25" t="n"/>
      <c r="O55" s="25" t="n"/>
    </row>
    <row r="56">
      <c r="B56" s="27" t="inlineStr">
        <is>
          <t>TOTALE RIPARTITO</t>
        </is>
      </c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9">
        <f>M54+M55</f>
        <v/>
      </c>
      <c r="N56" s="28" t="n"/>
      <c r="O56" s="28" t="n"/>
    </row>
    <row r="57">
      <c r="B57" s="24" t="inlineStr">
        <is>
          <t>Differenza rispetto al finanziamento (deve essere 0)</t>
        </is>
      </c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6">
        <f>ROUND(M56-$E$5,2)</f>
        <v/>
      </c>
      <c r="N57" s="25" t="n"/>
      <c r="O57" s="25" t="n"/>
    </row>
  </sheetData>
  <mergeCells count="19">
    <mergeCell ref="M54:O54"/>
    <mergeCell ref="B7:C7"/>
    <mergeCell ref="B54:L54"/>
    <mergeCell ref="B56:L56"/>
    <mergeCell ref="B12:C12"/>
    <mergeCell ref="B52:L52"/>
    <mergeCell ref="B11:C11"/>
    <mergeCell ref="M57:O57"/>
    <mergeCell ref="B8:C8"/>
    <mergeCell ref="B57:L57"/>
    <mergeCell ref="B13:C13"/>
    <mergeCell ref="B53:L53"/>
    <mergeCell ref="B10:C10"/>
    <mergeCell ref="M56:O56"/>
    <mergeCell ref="M53:O53"/>
    <mergeCell ref="B9:C9"/>
    <mergeCell ref="M55:O55"/>
    <mergeCell ref="M52:O52"/>
    <mergeCell ref="B55:L55"/>
  </mergeCells>
  <conditionalFormatting sqref="A17:C48">
    <cfRule type="expression" priority="1" dxfId="0">
      <formula>$D17="FARB DiSPaC"</formula>
    </cfRule>
  </conditionalFormatting>
  <conditionalFormatting sqref="M57">
    <cfRule type="expression" priority="2" dxfId="1">
      <formula>M57&lt;&gt;0</formula>
    </cfRule>
  </conditionalFormatting>
  <dataValidations count="3">
    <dataValidation sqref="E17:E48 G17:I48" showDropDown="0" showInputMessage="0" showErrorMessage="0" allowBlank="1" type="list">
      <formula1>"si,no"</formula1>
    </dataValidation>
    <dataValidation sqref="F17:F48" showDropDown="0" showInputMessage="0" showErrorMessage="0" allowBlank="1" type="list">
      <formula1>"0.1,0.4,0.7,1"</formula1>
    </dataValidation>
    <dataValidation sqref="D17:D48" showDropDown="0" showInputMessage="0" showErrorMessage="0" allowBlank="1" type="list">
      <formula1>"Docente,FARB DiSPaC"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2026-09-27T07:17:02Z</dcterms:created>
  <dcterms:modified xmlns:dcterms="http://purl.org/dc/terms/" xmlns:xsi="http://www.w3.org/2001/XMLSchema-instance" xsi:type="dcterms:W3CDTF">2026-09-27T07:17:02Z</dcterms:modified>
</cp:coreProperties>
</file>