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i" sheetId="1" state="visible" r:id="rId1"/>
    <sheet xmlns:r="http://schemas.openxmlformats.org/officeDocument/2006/relationships" name="Calco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;-#,##0.00 €;-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color rgb="000000FF"/>
    </font>
    <font>
      <name val="Arial"/>
      <b val="1"/>
    </font>
    <font>
      <name val="Arial"/>
      <b val="1"/>
      <sz val="12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4" fontId="2" fillId="2" borderId="0" pivotButton="0" quotePrefix="0" xfId="0"/>
    <xf numFmtId="0" fontId="3" fillId="3" borderId="0" pivotButton="0" quotePrefix="0" xfId="0"/>
    <xf numFmtId="9" fontId="2" fillId="0" borderId="0" pivotButton="0" quotePrefix="0" xfId="0"/>
    <xf numFmtId="164" fontId="5" fillId="0" borderId="0" pivotButton="0" quotePrefix="0" xfId="0"/>
    <xf numFmtId="0" fontId="3" fillId="0" borderId="0" pivotButton="0" quotePrefix="0" xfId="0"/>
    <xf numFmtId="9" fontId="5" fillId="0" borderId="0" pivotButton="0" quotePrefix="0" xfId="0"/>
    <xf numFmtId="164" fontId="3" fillId="0" borderId="0" pivotButton="0" quotePrefix="0" xfId="0"/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62" customWidth="1" min="4" max="4"/>
  </cols>
  <sheetData>
    <row r="1">
      <c r="A1" s="1" t="inlineStr">
        <is>
          <t>FARB 2026 — Parametri di ripartizione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inlineStr">
        <is>
          <t>Totale finanziamento 2026</t>
        </is>
      </c>
      <c r="B3" s="3" t="n">
        <v>122438</v>
      </c>
      <c r="C3" s="2" t="inlineStr">
        <is>
          <t>Fonte: mail Commissione FARB (M. Passaro)</t>
        </is>
      </c>
      <c r="D3" s="2" t="n"/>
    </row>
    <row r="4">
      <c r="A4" s="2" t="n"/>
      <c r="B4" s="2" t="n"/>
      <c r="C4" s="2" t="n"/>
      <c r="D4" s="2" t="n"/>
    </row>
    <row r="5">
      <c r="A5" s="4" t="inlineStr">
        <is>
          <t>Voce</t>
        </is>
      </c>
      <c r="B5" s="4" t="inlineStr">
        <is>
          <t>Percentuale</t>
        </is>
      </c>
      <c r="C5" s="4" t="inlineStr">
        <is>
          <t>Importo</t>
        </is>
      </c>
      <c r="D5" s="4" t="inlineStr">
        <is>
          <t>Regola (Regolamento FARB di Dipartimento)</t>
        </is>
      </c>
    </row>
    <row r="6">
      <c r="A6" s="2" t="inlineStr">
        <is>
          <t>FARB DiSPaC</t>
        </is>
      </c>
      <c r="B6" s="5" t="n">
        <v>0.1</v>
      </c>
      <c r="C6" s="6">
        <f>$B$3*B6</f>
        <v/>
      </c>
      <c r="D6" s="2" t="inlineStr">
        <is>
          <t>Proposta dipartimentale (+ quote dei progetti che vi confluiscono)</t>
        </is>
      </c>
    </row>
    <row r="7">
      <c r="A7" s="2" t="inlineStr">
        <is>
          <t>Criterio 1 – Rilievo scientifico</t>
        </is>
      </c>
      <c r="B7" s="5" t="n">
        <v>0.4</v>
      </c>
      <c r="C7" s="6">
        <f>$B$3*B7</f>
        <v/>
      </c>
      <c r="D7" s="2" t="inlineStr">
        <is>
          <t>Parti uguali a tutti i progetti con "si" (non silenti)</t>
        </is>
      </c>
    </row>
    <row r="8">
      <c r="A8" s="2" t="inlineStr">
        <is>
          <t>Criterio 2 – Produzione scientifica</t>
        </is>
      </c>
      <c r="B8" s="5" t="n">
        <v>0.1</v>
      </c>
      <c r="C8" s="6">
        <f>$B$3*B8</f>
        <v/>
      </c>
      <c r="D8" s="2" t="inlineStr">
        <is>
          <t>Pro quota sul peso (0,1 / 0,4 / 0,7 / 1)</t>
        </is>
      </c>
    </row>
    <row r="9">
      <c r="A9" s="2" t="inlineStr">
        <is>
          <t>Criterio 3 – Esigenze strategiche</t>
        </is>
      </c>
      <c r="B9" s="5" t="n">
        <v>0.25</v>
      </c>
      <c r="C9" s="6">
        <f>$B$3*B9</f>
        <v/>
      </c>
      <c r="D9" s="2" t="inlineStr">
        <is>
          <t>Parti uguali tra i progetti con "si"</t>
        </is>
      </c>
    </row>
    <row r="10">
      <c r="A10" s="2" t="inlineStr">
        <is>
          <t>Criterio 4 – Aggregazione</t>
        </is>
      </c>
      <c r="B10" s="5" t="n">
        <v>0.1</v>
      </c>
      <c r="C10" s="6">
        <f>$B$3*B10</f>
        <v/>
      </c>
      <c r="D10" s="2" t="inlineStr">
        <is>
          <t>Parti uguali tra i progetti con "si" (≥3 docenti)</t>
        </is>
      </c>
    </row>
    <row r="11">
      <c r="A11" s="2" t="inlineStr">
        <is>
          <t>Criterio 5 – Partecipazione ≥80%</t>
        </is>
      </c>
      <c r="B11" s="5" t="n">
        <v>0.05</v>
      </c>
      <c r="C11" s="6">
        <f>$B$3*B11</f>
        <v/>
      </c>
      <c r="D11" s="2" t="inlineStr">
        <is>
          <t>Parti uguali tra i progetti con "si"</t>
        </is>
      </c>
    </row>
    <row r="12">
      <c r="A12" s="7" t="inlineStr">
        <is>
          <t>Totale</t>
        </is>
      </c>
      <c r="B12" s="8">
        <f>SUM(B6:B11)</f>
        <v/>
      </c>
      <c r="C12" s="9">
        <f>SUM(C6:C11)</f>
        <v/>
      </c>
      <c r="D12" s="2" t="n"/>
    </row>
    <row r="13">
      <c r="A13" s="2" t="inlineStr">
        <is>
          <t>Controllo (deve essere 0)</t>
        </is>
      </c>
      <c r="B13" s="2" t="n"/>
      <c r="C13" s="6">
        <f>C12-B3</f>
        <v/>
      </c>
      <c r="D1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52" customWidth="1" min="6" max="6"/>
    <col width="11" customWidth="1" min="7" max="7"/>
    <col width="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8" customWidth="1" min="15" max="15"/>
    <col width="26" customWidth="1" min="16" max="16"/>
  </cols>
  <sheetData>
    <row r="1" ht="32" customHeight="1">
      <c r="A1" s="10" t="inlineStr">
        <is>
          <t>Docente proponente</t>
        </is>
      </c>
      <c r="B1" s="10" t="inlineStr">
        <is>
          <t>C1 (si/no)</t>
        </is>
      </c>
      <c r="C1" s="10" t="inlineStr">
        <is>
          <t>C2 peso</t>
        </is>
      </c>
      <c r="D1" s="10" t="inlineStr">
        <is>
          <t>C3 (si/no)</t>
        </is>
      </c>
      <c r="E1" s="10" t="inlineStr">
        <is>
          <t>C4 (si/no)</t>
        </is>
      </c>
      <c r="F1" s="10" t="inlineStr">
        <is>
          <t>Composizione / % partecipazione</t>
        </is>
      </c>
      <c r="G1" s="10" t="inlineStr">
        <is>
          <t>Media % interni (verifica)</t>
        </is>
      </c>
      <c r="H1" s="10" t="inlineStr">
        <is>
          <t>C5 (si/no)</t>
        </is>
      </c>
      <c r="I1" s="10" t="inlineStr">
        <is>
          <t>Quota C1</t>
        </is>
      </c>
      <c r="J1" s="10" t="inlineStr">
        <is>
          <t>Quota C2</t>
        </is>
      </c>
      <c r="K1" s="10" t="inlineStr">
        <is>
          <t>Quota C3</t>
        </is>
      </c>
      <c r="L1" s="10" t="inlineStr">
        <is>
          <t>Quota C4</t>
        </is>
      </c>
      <c r="M1" s="10" t="inlineStr">
        <is>
          <t>Quota C5</t>
        </is>
      </c>
      <c r="N1" s="10" t="inlineStr">
        <is>
          <t>TOTALE</t>
        </is>
      </c>
      <c r="O1" s="10" t="inlineStr">
        <is>
          <t>Destinazione</t>
        </is>
      </c>
      <c r="P1" s="10" t="inlineStr">
        <is>
          <t>Note</t>
        </is>
      </c>
    </row>
    <row r="2">
      <c r="A2" s="2" t="inlineStr">
        <is>
          <t>Adorno</t>
        </is>
      </c>
      <c r="B2" s="11" t="inlineStr">
        <is>
          <t>si</t>
        </is>
      </c>
      <c r="C2" s="11" t="n">
        <v>1</v>
      </c>
      <c r="D2" s="11" t="inlineStr">
        <is>
          <t>si</t>
        </is>
      </c>
      <c r="E2" s="11" t="inlineStr">
        <is>
          <t>no</t>
        </is>
      </c>
      <c r="F2" s="11" t="inlineStr">
        <is>
          <t>95%</t>
        </is>
      </c>
      <c r="G2" s="12" t="n">
        <v>0.95</v>
      </c>
      <c r="H2" s="11" t="inlineStr">
        <is>
          <t>si</t>
        </is>
      </c>
      <c r="I2" s="6">
        <f>IF(B2="si",Parametri!$C$7/COUNTIF($B$2:$B$33,"si"),0)</f>
        <v/>
      </c>
      <c r="J2" s="6">
        <f>IF(B2="si",Parametri!$C$8*C2/SUMIF($B$2:$B$33,"si",$C$2:$C$33),0)</f>
        <v/>
      </c>
      <c r="K2" s="6">
        <f>IF(D2="si",Parametri!$C$9/COUNTIF($D$2:$D$33,"si"),0)</f>
        <v/>
      </c>
      <c r="L2" s="6">
        <f>IF(E2="si",Parametri!$C$10/COUNTIF($E$2:$E$33,"si"),0)</f>
        <v/>
      </c>
      <c r="M2" s="6">
        <f>IF(H2="si",Parametri!$C$11/COUNTIF($H$2:$H$33,"si"),0)</f>
        <v/>
      </c>
      <c r="N2" s="9">
        <f>SUM(I2:M2)</f>
        <v/>
      </c>
      <c r="O2" s="2" t="inlineStr">
        <is>
          <t>Docente</t>
        </is>
      </c>
      <c r="P2" s="2">
        <f>IF(AND(H2="si",G2&lt;0.8),"⚠ C5=si ma media &lt;80%",IF(AND(H2="no",G2&gt;=0.8),"⚠ C5=no ma media ≥80%",""))</f>
        <v/>
      </c>
    </row>
    <row r="3">
      <c r="A3" s="2" t="inlineStr">
        <is>
          <t>Adriano Amendola</t>
        </is>
      </c>
      <c r="B3" s="11" t="inlineStr">
        <is>
          <t>si</t>
        </is>
      </c>
      <c r="C3" s="11" t="n">
        <v>0.7</v>
      </c>
      <c r="D3" s="11" t="inlineStr">
        <is>
          <t>si</t>
        </is>
      </c>
      <c r="E3" s="11" t="inlineStr">
        <is>
          <t>si</t>
        </is>
      </c>
      <c r="F3" s="11" t="inlineStr">
        <is>
          <t>Amendola 70% Vaccaro 10% Ricco 10%</t>
        </is>
      </c>
      <c r="G3" s="12" t="n">
        <v>0.3</v>
      </c>
      <c r="H3" s="11" t="inlineStr">
        <is>
          <t>no</t>
        </is>
      </c>
      <c r="I3" s="6">
        <f>IF(B3="si",Parametri!$C$7/COUNTIF($B$2:$B$33,"si"),0)</f>
        <v/>
      </c>
      <c r="J3" s="6">
        <f>IF(B3="si",Parametri!$C$8*C3/SUMIF($B$2:$B$33,"si",$C$2:$C$33),0)</f>
        <v/>
      </c>
      <c r="K3" s="6">
        <f>IF(D3="si",Parametri!$C$9/COUNTIF($D$2:$D$33,"si"),0)</f>
        <v/>
      </c>
      <c r="L3" s="6">
        <f>IF(E3="si",Parametri!$C$10/COUNTIF($E$2:$E$33,"si"),0)</f>
        <v/>
      </c>
      <c r="M3" s="6">
        <f>IF(H3="si",Parametri!$C$11/COUNTIF($H$2:$H$33,"si"),0)</f>
        <v/>
      </c>
      <c r="N3" s="9">
        <f>SUM(I3:M3)</f>
        <v/>
      </c>
      <c r="O3" s="2" t="inlineStr">
        <is>
          <t>Docente</t>
        </is>
      </c>
      <c r="P3" s="2">
        <f>IF(AND(H3="si",G3&lt;0.8),"⚠ C5=si ma media &lt;80%",IF(AND(H3="no",G3&gt;=0.8),"⚠ C5=no ma media ≥80%",""))</f>
        <v/>
      </c>
    </row>
    <row r="4">
      <c r="A4" s="2" t="inlineStr">
        <is>
          <t>Angrisano</t>
        </is>
      </c>
      <c r="B4" s="11" t="inlineStr">
        <is>
          <t>si</t>
        </is>
      </c>
      <c r="C4" s="11" t="n">
        <v>0.7</v>
      </c>
      <c r="D4" s="11" t="inlineStr">
        <is>
          <t>si</t>
        </is>
      </c>
      <c r="E4" s="11" t="inlineStr">
        <is>
          <t>no</t>
        </is>
      </c>
      <c r="F4" s="11" t="inlineStr">
        <is>
          <t>Angrisano 80% Mocchi 10%</t>
        </is>
      </c>
      <c r="G4" s="12" t="n">
        <v>0.45</v>
      </c>
      <c r="H4" s="11" t="inlineStr">
        <is>
          <t>no</t>
        </is>
      </c>
      <c r="I4" s="6">
        <f>IF(B4="si",Parametri!$C$7/COUNTIF($B$2:$B$33,"si"),0)</f>
        <v/>
      </c>
      <c r="J4" s="6">
        <f>IF(B4="si",Parametri!$C$8*C4/SUMIF($B$2:$B$33,"si",$C$2:$C$33),0)</f>
        <v/>
      </c>
      <c r="K4" s="6">
        <f>IF(D4="si",Parametri!$C$9/COUNTIF($D$2:$D$33,"si"),0)</f>
        <v/>
      </c>
      <c r="L4" s="6">
        <f>IF(E4="si",Parametri!$C$10/COUNTIF($E$2:$E$33,"si"),0)</f>
        <v/>
      </c>
      <c r="M4" s="6">
        <f>IF(H4="si",Parametri!$C$11/COUNTIF($H$2:$H$33,"si"),0)</f>
        <v/>
      </c>
      <c r="N4" s="9">
        <f>SUM(I4:M4)</f>
        <v/>
      </c>
      <c r="O4" s="2" t="inlineStr">
        <is>
          <t>Docente</t>
        </is>
      </c>
      <c r="P4" s="2">
        <f>IF(AND(H4="si",G4&lt;0.8),"⚠ C5=si ma media &lt;80%",IF(AND(H4="no",G4&gt;=0.8),"⚠ C5=no ma media ≥80%",""))</f>
        <v/>
      </c>
    </row>
    <row r="5">
      <c r="A5" s="2" t="inlineStr">
        <is>
          <t>Bilotta</t>
        </is>
      </c>
      <c r="B5" s="11" t="inlineStr">
        <is>
          <t>si</t>
        </is>
      </c>
      <c r="C5" s="11" t="n">
        <v>0.7</v>
      </c>
      <c r="D5" s="11" t="inlineStr">
        <is>
          <t>si</t>
        </is>
      </c>
      <c r="E5" s="11" t="inlineStr">
        <is>
          <t>no</t>
        </is>
      </c>
      <c r="F5" s="11" t="inlineStr">
        <is>
          <t>Bilotta 80% Vaccaro 5%</t>
        </is>
      </c>
      <c r="G5" s="12" t="n">
        <v>0.425</v>
      </c>
      <c r="H5" s="11" t="inlineStr">
        <is>
          <t>no</t>
        </is>
      </c>
      <c r="I5" s="6">
        <f>IF(B5="si",Parametri!$C$7/COUNTIF($B$2:$B$33,"si"),0)</f>
        <v/>
      </c>
      <c r="J5" s="6">
        <f>IF(B5="si",Parametri!$C$8*C5/SUMIF($B$2:$B$33,"si",$C$2:$C$33),0)</f>
        <v/>
      </c>
      <c r="K5" s="6">
        <f>IF(D5="si",Parametri!$C$9/COUNTIF($D$2:$D$33,"si"),0)</f>
        <v/>
      </c>
      <c r="L5" s="6">
        <f>IF(E5="si",Parametri!$C$10/COUNTIF($E$2:$E$33,"si"),0)</f>
        <v/>
      </c>
      <c r="M5" s="6">
        <f>IF(H5="si",Parametri!$C$11/COUNTIF($H$2:$H$33,"si"),0)</f>
        <v/>
      </c>
      <c r="N5" s="9">
        <f>SUM(I5:M5)</f>
        <v/>
      </c>
      <c r="O5" s="2" t="inlineStr">
        <is>
          <t>Docente</t>
        </is>
      </c>
      <c r="P5" s="2">
        <f>IF(AND(H5="si",G5&lt;0.8),"⚠ C5=si ma media &lt;80%",IF(AND(H5="no",G5&gt;=0.8),"⚠ C5=no ma media ≥80%",""))</f>
        <v/>
      </c>
    </row>
    <row r="6">
      <c r="A6" s="2" t="inlineStr">
        <is>
          <t>Cammarota</t>
        </is>
      </c>
      <c r="B6" s="11" t="inlineStr">
        <is>
          <t>si</t>
        </is>
      </c>
      <c r="C6" s="11" t="n">
        <v>0.7</v>
      </c>
      <c r="D6" s="11" t="inlineStr">
        <is>
          <t>si</t>
        </is>
      </c>
      <c r="E6" s="11" t="inlineStr">
        <is>
          <t>si</t>
        </is>
      </c>
      <c r="F6" s="11" t="inlineStr">
        <is>
          <t>90% Cammarota 80% Cantillo. 90% Lo Casto 90% Tarantino 92% Tomatis</t>
        </is>
      </c>
      <c r="G6" s="12" t="n">
        <v>0.884</v>
      </c>
      <c r="H6" s="11" t="inlineStr">
        <is>
          <t>si</t>
        </is>
      </c>
      <c r="I6" s="6">
        <f>IF(B6="si",Parametri!$C$7/COUNTIF($B$2:$B$33,"si"),0)</f>
        <v/>
      </c>
      <c r="J6" s="6">
        <f>IF(B6="si",Parametri!$C$8*C6/SUMIF($B$2:$B$33,"si",$C$2:$C$33),0)</f>
        <v/>
      </c>
      <c r="K6" s="6">
        <f>IF(D6="si",Parametri!$C$9/COUNTIF($D$2:$D$33,"si"),0)</f>
        <v/>
      </c>
      <c r="L6" s="6">
        <f>IF(E6="si",Parametri!$C$10/COUNTIF($E$2:$E$33,"si"),0)</f>
        <v/>
      </c>
      <c r="M6" s="6">
        <f>IF(H6="si",Parametri!$C$11/COUNTIF($H$2:$H$33,"si"),0)</f>
        <v/>
      </c>
      <c r="N6" s="9">
        <f>SUM(I6:M6)</f>
        <v/>
      </c>
      <c r="O6" s="2" t="inlineStr">
        <is>
          <t>Docente</t>
        </is>
      </c>
      <c r="P6" s="2">
        <f>IF(AND(H6="si",G6&lt;0.8),"⚠ C5=si ma media &lt;80%",IF(AND(H6="no",G6&gt;=0.8),"⚠ C5=no ma media ≥80%",""))</f>
        <v/>
      </c>
    </row>
    <row r="7">
      <c r="A7" s="2" t="inlineStr">
        <is>
          <t>Capriolo</t>
        </is>
      </c>
      <c r="B7" s="11" t="inlineStr">
        <is>
          <t>si</t>
        </is>
      </c>
      <c r="C7" s="11" t="n">
        <v>0.7</v>
      </c>
      <c r="D7" s="11" t="inlineStr">
        <is>
          <t>si</t>
        </is>
      </c>
      <c r="E7" s="11" t="inlineStr">
        <is>
          <t>no</t>
        </is>
      </c>
      <c r="F7" s="11" t="inlineStr">
        <is>
          <t>80%</t>
        </is>
      </c>
      <c r="G7" s="12" t="n">
        <v>0.8</v>
      </c>
      <c r="H7" s="11" t="inlineStr">
        <is>
          <t>si</t>
        </is>
      </c>
      <c r="I7" s="6">
        <f>IF(B7="si",Parametri!$C$7/COUNTIF($B$2:$B$33,"si"),0)</f>
        <v/>
      </c>
      <c r="J7" s="6">
        <f>IF(B7="si",Parametri!$C$8*C7/SUMIF($B$2:$B$33,"si",$C$2:$C$33),0)</f>
        <v/>
      </c>
      <c r="K7" s="6">
        <f>IF(D7="si",Parametri!$C$9/COUNTIF($D$2:$D$33,"si"),0)</f>
        <v/>
      </c>
      <c r="L7" s="6">
        <f>IF(E7="si",Parametri!$C$10/COUNTIF($E$2:$E$33,"si"),0)</f>
        <v/>
      </c>
      <c r="M7" s="6">
        <f>IF(H7="si",Parametri!$C$11/COUNTIF($H$2:$H$33,"si"),0)</f>
        <v/>
      </c>
      <c r="N7" s="9">
        <f>SUM(I7:M7)</f>
        <v/>
      </c>
      <c r="O7" s="2" t="inlineStr">
        <is>
          <t>Docente</t>
        </is>
      </c>
      <c r="P7" s="2">
        <f>IF(AND(H7="si",G7&lt;0.8),"⚠ C5=si ma media &lt;80%",IF(AND(H7="no",G7&gt;=0.8),"⚠ C5=no ma media ≥80%",""))</f>
        <v/>
      </c>
    </row>
    <row r="8">
      <c r="A8" s="2" t="inlineStr">
        <is>
          <t>Dell’Acqua</t>
        </is>
      </c>
      <c r="B8" s="11" t="inlineStr">
        <is>
          <t>si</t>
        </is>
      </c>
      <c r="C8" s="11" t="n">
        <v>0.7</v>
      </c>
      <c r="D8" s="11" t="inlineStr">
        <is>
          <t>si</t>
        </is>
      </c>
      <c r="E8" s="11" t="inlineStr">
        <is>
          <t>no</t>
        </is>
      </c>
      <c r="F8" s="11" t="inlineStr">
        <is>
          <t>90%</t>
        </is>
      </c>
      <c r="G8" s="12" t="n">
        <v>0.9</v>
      </c>
      <c r="H8" s="11" t="inlineStr">
        <is>
          <t>si</t>
        </is>
      </c>
      <c r="I8" s="6">
        <f>IF(B8="si",Parametri!$C$7/COUNTIF($B$2:$B$33,"si"),0)</f>
        <v/>
      </c>
      <c r="J8" s="6">
        <f>IF(B8="si",Parametri!$C$8*C8/SUMIF($B$2:$B$33,"si",$C$2:$C$33),0)</f>
        <v/>
      </c>
      <c r="K8" s="6">
        <f>IF(D8="si",Parametri!$C$9/COUNTIF($D$2:$D$33,"si"),0)</f>
        <v/>
      </c>
      <c r="L8" s="6">
        <f>IF(E8="si",Parametri!$C$10/COUNTIF($E$2:$E$33,"si"),0)</f>
        <v/>
      </c>
      <c r="M8" s="6">
        <f>IF(H8="si",Parametri!$C$11/COUNTIF($H$2:$H$33,"si"),0)</f>
        <v/>
      </c>
      <c r="N8" s="9">
        <f>SUM(I8:M8)</f>
        <v/>
      </c>
      <c r="O8" s="2" t="inlineStr">
        <is>
          <t>Docente</t>
        </is>
      </c>
      <c r="P8" s="2">
        <f>IF(AND(H8="si",G8&lt;0.8),"⚠ C5=si ma media &lt;80%",IF(AND(H8="no",G8&gt;=0.8),"⚠ C5=no ma media ≥80%",""))</f>
        <v/>
      </c>
    </row>
    <row r="9">
      <c r="A9" s="2" t="inlineStr">
        <is>
          <t>Fiorillo</t>
        </is>
      </c>
      <c r="B9" s="11" t="inlineStr">
        <is>
          <t>si</t>
        </is>
      </c>
      <c r="C9" s="11" t="n">
        <v>0.7</v>
      </c>
      <c r="D9" s="11" t="inlineStr">
        <is>
          <t>si</t>
        </is>
      </c>
      <c r="E9" s="11" t="inlineStr">
        <is>
          <t>no</t>
        </is>
      </c>
      <c r="F9" s="11" t="inlineStr">
        <is>
          <t>85% Fiorillo (esterno 5% Gagliardi)</t>
        </is>
      </c>
      <c r="G9" s="12" t="n">
        <v>0.85</v>
      </c>
      <c r="H9" s="11" t="inlineStr">
        <is>
          <t>si</t>
        </is>
      </c>
      <c r="I9" s="6">
        <f>IF(B9="si",Parametri!$C$7/COUNTIF($B$2:$B$33,"si"),0)</f>
        <v/>
      </c>
      <c r="J9" s="6">
        <f>IF(B9="si",Parametri!$C$8*C9/SUMIF($B$2:$B$33,"si",$C$2:$C$33),0)</f>
        <v/>
      </c>
      <c r="K9" s="6">
        <f>IF(D9="si",Parametri!$C$9/COUNTIF($D$2:$D$33,"si"),0)</f>
        <v/>
      </c>
      <c r="L9" s="6">
        <f>IF(E9="si",Parametri!$C$10/COUNTIF($E$2:$E$33,"si"),0)</f>
        <v/>
      </c>
      <c r="M9" s="6">
        <f>IF(H9="si",Parametri!$C$11/COUNTIF($H$2:$H$33,"si"),0)</f>
        <v/>
      </c>
      <c r="N9" s="9">
        <f>SUM(I9:M9)</f>
        <v/>
      </c>
      <c r="O9" s="2" t="inlineStr">
        <is>
          <t>Docente</t>
        </is>
      </c>
      <c r="P9" s="2">
        <f>IF(AND(H9="si",G9&lt;0.8),"⚠ C5=si ma media &lt;80%",IF(AND(H9="no",G9&gt;=0.8),"⚠ C5=no ma media ≥80%",""))</f>
        <v/>
      </c>
    </row>
    <row r="10">
      <c r="A10" s="2" t="inlineStr">
        <is>
          <t>Galdi</t>
        </is>
      </c>
      <c r="B10" s="11" t="inlineStr">
        <is>
          <t>si</t>
        </is>
      </c>
      <c r="C10" s="11" t="n">
        <v>0.7</v>
      </c>
      <c r="D10" s="11" t="inlineStr">
        <is>
          <t>si</t>
        </is>
      </c>
      <c r="E10" s="11" t="inlineStr">
        <is>
          <t>no</t>
        </is>
      </c>
      <c r="F10" s="11" t="inlineStr">
        <is>
          <t>80%</t>
        </is>
      </c>
      <c r="G10" s="12" t="n">
        <v>0.8</v>
      </c>
      <c r="H10" s="11" t="inlineStr">
        <is>
          <t>si</t>
        </is>
      </c>
      <c r="I10" s="6">
        <f>IF(B10="si",Parametri!$C$7/COUNTIF($B$2:$B$33,"si"),0)</f>
        <v/>
      </c>
      <c r="J10" s="6">
        <f>IF(B10="si",Parametri!$C$8*C10/SUMIF($B$2:$B$33,"si",$C$2:$C$33),0)</f>
        <v/>
      </c>
      <c r="K10" s="6">
        <f>IF(D10="si",Parametri!$C$9/COUNTIF($D$2:$D$33,"si"),0)</f>
        <v/>
      </c>
      <c r="L10" s="6">
        <f>IF(E10="si",Parametri!$C$10/COUNTIF($E$2:$E$33,"si"),0)</f>
        <v/>
      </c>
      <c r="M10" s="6">
        <f>IF(H10="si",Parametri!$C$11/COUNTIF($H$2:$H$33,"si"),0)</f>
        <v/>
      </c>
      <c r="N10" s="9">
        <f>SUM(I10:M10)</f>
        <v/>
      </c>
      <c r="O10" s="2" t="inlineStr">
        <is>
          <t>Docente</t>
        </is>
      </c>
      <c r="P10" s="2">
        <f>IF(AND(H10="si",G10&lt;0.8),"⚠ C5=si ma media &lt;80%",IF(AND(H10="no",G10&gt;=0.8),"⚠ C5=no ma media ≥80%",""))</f>
        <v/>
      </c>
    </row>
    <row r="11">
      <c r="A11" s="2" t="inlineStr">
        <is>
          <t>Gin</t>
        </is>
      </c>
      <c r="B11" s="11" t="inlineStr">
        <is>
          <t>si</t>
        </is>
      </c>
      <c r="C11" s="11" t="n">
        <v>1</v>
      </c>
      <c r="D11" s="11" t="inlineStr">
        <is>
          <t>si</t>
        </is>
      </c>
      <c r="E11" s="11" t="inlineStr">
        <is>
          <t>no</t>
        </is>
      </c>
      <c r="F11" s="11" t="inlineStr">
        <is>
          <t>100%</t>
        </is>
      </c>
      <c r="G11" s="12" t="n">
        <v>1</v>
      </c>
      <c r="H11" s="11" t="inlineStr">
        <is>
          <t>si</t>
        </is>
      </c>
      <c r="I11" s="6">
        <f>IF(B11="si",Parametri!$C$7/COUNTIF($B$2:$B$33,"si"),0)</f>
        <v/>
      </c>
      <c r="J11" s="6">
        <f>IF(B11="si",Parametri!$C$8*C11/SUMIF($B$2:$B$33,"si",$C$2:$C$33),0)</f>
        <v/>
      </c>
      <c r="K11" s="6">
        <f>IF(D11="si",Parametri!$C$9/COUNTIF($D$2:$D$33,"si"),0)</f>
        <v/>
      </c>
      <c r="L11" s="6">
        <f>IF(E11="si",Parametri!$C$10/COUNTIF($E$2:$E$33,"si"),0)</f>
        <v/>
      </c>
      <c r="M11" s="6">
        <f>IF(H11="si",Parametri!$C$11/COUNTIF($H$2:$H$33,"si"),0)</f>
        <v/>
      </c>
      <c r="N11" s="9">
        <f>SUM(I11:M11)</f>
        <v/>
      </c>
      <c r="O11" s="2" t="inlineStr">
        <is>
          <t>Docente</t>
        </is>
      </c>
      <c r="P11" s="2">
        <f>IF(AND(H11="si",G11&lt;0.8),"⚠ C5=si ma media &lt;80%",IF(AND(H11="no",G11&gt;=0.8),"⚠ C5=no ma media ≥80%",""))</f>
        <v/>
      </c>
    </row>
    <row r="12">
      <c r="A12" s="2" t="inlineStr">
        <is>
          <t>Gorrese</t>
        </is>
      </c>
      <c r="B12" s="11" t="inlineStr">
        <is>
          <t>si</t>
        </is>
      </c>
      <c r="C12" s="11" t="n">
        <v>0.7</v>
      </c>
      <c r="D12" s="11" t="inlineStr">
        <is>
          <t>si</t>
        </is>
      </c>
      <c r="E12" s="11" t="inlineStr">
        <is>
          <t>si</t>
        </is>
      </c>
      <c r="F12" s="11" t="inlineStr">
        <is>
          <t>Gorrese 90% Esposito 95% (esterno 5% Girelli)</t>
        </is>
      </c>
      <c r="G12" s="12" t="n">
        <v>0.925</v>
      </c>
      <c r="H12" s="11" t="inlineStr">
        <is>
          <t>si</t>
        </is>
      </c>
      <c r="I12" s="6">
        <f>IF(B12="si",Parametri!$C$7/COUNTIF($B$2:$B$33,"si"),0)</f>
        <v/>
      </c>
      <c r="J12" s="6">
        <f>IF(B12="si",Parametri!$C$8*C12/SUMIF($B$2:$B$33,"si",$C$2:$C$33),0)</f>
        <v/>
      </c>
      <c r="K12" s="6">
        <f>IF(D12="si",Parametri!$C$9/COUNTIF($D$2:$D$33,"si"),0)</f>
        <v/>
      </c>
      <c r="L12" s="6">
        <f>IF(E12="si",Parametri!$C$10/COUNTIF($E$2:$E$33,"si"),0)</f>
        <v/>
      </c>
      <c r="M12" s="6">
        <f>IF(H12="si",Parametri!$C$11/COUNTIF($H$2:$H$33,"si"),0)</f>
        <v/>
      </c>
      <c r="N12" s="9">
        <f>SUM(I12:M12)</f>
        <v/>
      </c>
      <c r="O12" s="2" t="inlineStr">
        <is>
          <t>Docente</t>
        </is>
      </c>
      <c r="P12" s="2">
        <f>IF(AND(H12="si",G12&lt;0.8),"⚠ C5=si ma media &lt;80%",IF(AND(H12="no",G12&gt;=0.8),"⚠ C5=no ma media ≥80%",""))</f>
        <v/>
      </c>
    </row>
    <row r="13">
      <c r="A13" s="2" t="inlineStr">
        <is>
          <t>Lambert</t>
        </is>
      </c>
      <c r="B13" s="11" t="inlineStr">
        <is>
          <t>si</t>
        </is>
      </c>
      <c r="C13" s="11" t="n">
        <v>0.7</v>
      </c>
      <c r="D13" s="11" t="inlineStr">
        <is>
          <t>si</t>
        </is>
      </c>
      <c r="E13" s="11" t="inlineStr">
        <is>
          <t>no</t>
        </is>
      </c>
      <c r="F13" s="11" t="inlineStr">
        <is>
          <t>80%</t>
        </is>
      </c>
      <c r="G13" s="12" t="n">
        <v>0.8</v>
      </c>
      <c r="H13" s="11" t="inlineStr">
        <is>
          <t>si</t>
        </is>
      </c>
      <c r="I13" s="6">
        <f>IF(B13="si",Parametri!$C$7/COUNTIF($B$2:$B$33,"si"),0)</f>
        <v/>
      </c>
      <c r="J13" s="6">
        <f>IF(B13="si",Parametri!$C$8*C13/SUMIF($B$2:$B$33,"si",$C$2:$C$33),0)</f>
        <v/>
      </c>
      <c r="K13" s="6">
        <f>IF(D13="si",Parametri!$C$9/COUNTIF($D$2:$D$33,"si"),0)</f>
        <v/>
      </c>
      <c r="L13" s="6">
        <f>IF(E13="si",Parametri!$C$10/COUNTIF($E$2:$E$33,"si"),0)</f>
        <v/>
      </c>
      <c r="M13" s="6">
        <f>IF(H13="si",Parametri!$C$11/COUNTIF($H$2:$H$33,"si"),0)</f>
        <v/>
      </c>
      <c r="N13" s="9">
        <f>SUM(I13:M13)</f>
        <v/>
      </c>
      <c r="O13" s="2" t="inlineStr">
        <is>
          <t>Docente</t>
        </is>
      </c>
      <c r="P13" s="2">
        <f>IF(AND(H13="si",G13&lt;0.8),"⚠ C5=si ma media &lt;80%",IF(AND(H13="no",G13&gt;=0.8),"⚠ C5=no ma media ≥80%",""))</f>
        <v/>
      </c>
    </row>
    <row r="14">
      <c r="A14" s="2" t="inlineStr">
        <is>
          <t>Enza Lamberti</t>
        </is>
      </c>
      <c r="B14" s="11" t="inlineStr">
        <is>
          <t>si</t>
        </is>
      </c>
      <c r="C14" s="11" t="n">
        <v>0.4</v>
      </c>
      <c r="D14" s="11" t="inlineStr">
        <is>
          <t>si</t>
        </is>
      </c>
      <c r="E14" s="11" t="inlineStr">
        <is>
          <t>si</t>
        </is>
      </c>
      <c r="F14" s="11" t="inlineStr">
        <is>
          <t>Lamberti 90% Lambert 10% (esterno Giulio 3%)</t>
        </is>
      </c>
      <c r="G14" s="12" t="n">
        <v>0.5</v>
      </c>
      <c r="H14" s="11" t="inlineStr">
        <is>
          <t>no</t>
        </is>
      </c>
      <c r="I14" s="6">
        <f>IF(B14="si",Parametri!$C$7/COUNTIF($B$2:$B$33,"si"),0)</f>
        <v/>
      </c>
      <c r="J14" s="6">
        <f>IF(B14="si",Parametri!$C$8*C14/SUMIF($B$2:$B$33,"si",$C$2:$C$33),0)</f>
        <v/>
      </c>
      <c r="K14" s="6">
        <f>IF(D14="si",Parametri!$C$9/COUNTIF($D$2:$D$33,"si"),0)</f>
        <v/>
      </c>
      <c r="L14" s="6">
        <f>IF(E14="si",Parametri!$C$10/COUNTIF($E$2:$E$33,"si"),0)</f>
        <v/>
      </c>
      <c r="M14" s="6">
        <f>IF(H14="si",Parametri!$C$11/COUNTIF($H$2:$H$33,"si"),0)</f>
        <v/>
      </c>
      <c r="N14" s="9">
        <f>SUM(I14:M14)</f>
        <v/>
      </c>
      <c r="O14" s="2" t="inlineStr">
        <is>
          <t>Docente</t>
        </is>
      </c>
      <c r="P14" s="2">
        <f>IF(AND(H14="si",G14&lt;0.8),"⚠ C5=si ma media &lt;80%",IF(AND(H14="no",G14&gt;=0.8),"⚠ C5=no ma media ≥80%",""))</f>
        <v/>
      </c>
    </row>
    <row r="15">
      <c r="A15" s="2" t="inlineStr">
        <is>
          <t>Longo</t>
        </is>
      </c>
      <c r="B15" s="11" t="inlineStr">
        <is>
          <t>si</t>
        </is>
      </c>
      <c r="C15" s="11" t="n">
        <v>0.7</v>
      </c>
      <c r="D15" s="11" t="inlineStr">
        <is>
          <t>si</t>
        </is>
      </c>
      <c r="E15" s="11" t="inlineStr">
        <is>
          <t>si</t>
        </is>
      </c>
      <c r="F15" s="11" t="inlineStr">
        <is>
          <t>Longo 80% Musmeci 5% Pardini 10%</t>
        </is>
      </c>
      <c r="G15" s="12" t="n">
        <v>0.3166666666666667</v>
      </c>
      <c r="H15" s="11" t="inlineStr">
        <is>
          <t>no</t>
        </is>
      </c>
      <c r="I15" s="6">
        <f>IF(B15="si",Parametri!$C$7/COUNTIF($B$2:$B$33,"si"),0)</f>
        <v/>
      </c>
      <c r="J15" s="6">
        <f>IF(B15="si",Parametri!$C$8*C15/SUMIF($B$2:$B$33,"si",$C$2:$C$33),0)</f>
        <v/>
      </c>
      <c r="K15" s="6">
        <f>IF(D15="si",Parametri!$C$9/COUNTIF($D$2:$D$33,"si"),0)</f>
        <v/>
      </c>
      <c r="L15" s="6">
        <f>IF(E15="si",Parametri!$C$10/COUNTIF($E$2:$E$33,"si"),0)</f>
        <v/>
      </c>
      <c r="M15" s="6">
        <f>IF(H15="si",Parametri!$C$11/COUNTIF($H$2:$H$33,"si"),0)</f>
        <v/>
      </c>
      <c r="N15" s="9">
        <f>SUM(I15:M15)</f>
        <v/>
      </c>
      <c r="O15" s="2" t="inlineStr">
        <is>
          <t>Docente</t>
        </is>
      </c>
      <c r="P15" s="2">
        <f>IF(AND(H15="si",G15&lt;0.8),"⚠ C5=si ma media &lt;80%",IF(AND(H15="no",G15&gt;=0.8),"⚠ C5=no ma media ≥80%",""))</f>
        <v/>
      </c>
    </row>
    <row r="16">
      <c r="A16" s="2" t="inlineStr">
        <is>
          <t>Maiorino</t>
        </is>
      </c>
      <c r="B16" s="11" t="inlineStr">
        <is>
          <t>si</t>
        </is>
      </c>
      <c r="C16" s="11" t="n">
        <v>0.7</v>
      </c>
      <c r="D16" s="11" t="inlineStr">
        <is>
          <t>si</t>
        </is>
      </c>
      <c r="E16" s="11" t="inlineStr">
        <is>
          <t>si</t>
        </is>
      </c>
      <c r="F16" s="11" t="inlineStr">
        <is>
          <t>Maiorino 90% Trotta 60% Zuliani 90%</t>
        </is>
      </c>
      <c r="G16" s="12" t="n">
        <v>0.8</v>
      </c>
      <c r="H16" s="11" t="inlineStr">
        <is>
          <t>si</t>
        </is>
      </c>
      <c r="I16" s="6">
        <f>IF(B16="si",Parametri!$C$7/COUNTIF($B$2:$B$33,"si"),0)</f>
        <v/>
      </c>
      <c r="J16" s="6">
        <f>IF(B16="si",Parametri!$C$8*C16/SUMIF($B$2:$B$33,"si",$C$2:$C$33),0)</f>
        <v/>
      </c>
      <c r="K16" s="6">
        <f>IF(D16="si",Parametri!$C$9/COUNTIF($D$2:$D$33,"si"),0)</f>
        <v/>
      </c>
      <c r="L16" s="6">
        <f>IF(E16="si",Parametri!$C$10/COUNTIF($E$2:$E$33,"si"),0)</f>
        <v/>
      </c>
      <c r="M16" s="6">
        <f>IF(H16="si",Parametri!$C$11/COUNTIF($H$2:$H$33,"si"),0)</f>
        <v/>
      </c>
      <c r="N16" s="9">
        <f>SUM(I16:M16)</f>
        <v/>
      </c>
      <c r="O16" s="2" t="inlineStr">
        <is>
          <t>Docente</t>
        </is>
      </c>
      <c r="P16" s="2">
        <f>IF(AND(H16="si",G16&lt;0.8),"⚠ C5=si ma media &lt;80%",IF(AND(H16="no",G16&gt;=0.8),"⚠ C5=no ma media ≥80%",""))</f>
        <v/>
      </c>
    </row>
    <row r="17">
      <c r="A17" s="2" t="inlineStr">
        <is>
          <t>Menichetti</t>
        </is>
      </c>
      <c r="B17" s="11" t="inlineStr">
        <is>
          <t>si</t>
        </is>
      </c>
      <c r="C17" s="11" t="n">
        <v>0.7</v>
      </c>
      <c r="D17" s="11" t="inlineStr">
        <is>
          <t>si</t>
        </is>
      </c>
      <c r="E17" s="11" t="inlineStr">
        <is>
          <t>si</t>
        </is>
      </c>
      <c r="F17" s="11" t="inlineStr">
        <is>
          <t>Menichetti 90% Guerriero 20% Scafuro 90% Serritella 90% Vecchio 90%</t>
        </is>
      </c>
      <c r="G17" s="12" t="n">
        <v>0.76</v>
      </c>
      <c r="H17" s="11" t="inlineStr">
        <is>
          <t>si</t>
        </is>
      </c>
      <c r="I17" s="6">
        <f>IF(B17="si",Parametri!$C$7/COUNTIF($B$2:$B$33,"si"),0)</f>
        <v/>
      </c>
      <c r="J17" s="6">
        <f>IF(B17="si",Parametri!$C$8*C17/SUMIF($B$2:$B$33,"si",$C$2:$C$33),0)</f>
        <v/>
      </c>
      <c r="K17" s="6">
        <f>IF(D17="si",Parametri!$C$9/COUNTIF($D$2:$D$33,"si"),0)</f>
        <v/>
      </c>
      <c r="L17" s="6">
        <f>IF(E17="si",Parametri!$C$10/COUNTIF($E$2:$E$33,"si"),0)</f>
        <v/>
      </c>
      <c r="M17" s="6">
        <f>IF(H17="si",Parametri!$C$11/COUNTIF($H$2:$H$33,"si"),0)</f>
        <v/>
      </c>
      <c r="N17" s="9">
        <f>SUM(I17:M17)</f>
        <v/>
      </c>
      <c r="O17" s="2" t="inlineStr">
        <is>
          <t>Docente</t>
        </is>
      </c>
      <c r="P17" s="2">
        <f>IF(AND(H17="si",G17&lt;0.8),"⚠ C5=si ma media &lt;80%",IF(AND(H17="no",G17&gt;=0.8),"⚠ C5=no ma media ≥80%",""))</f>
        <v/>
      </c>
    </row>
    <row r="18">
      <c r="A18" s="2" t="inlineStr">
        <is>
          <t>Mocchi</t>
        </is>
      </c>
      <c r="B18" s="11" t="inlineStr">
        <is>
          <t>si</t>
        </is>
      </c>
      <c r="C18" s="11" t="n">
        <v>0.7</v>
      </c>
      <c r="D18" s="11" t="inlineStr">
        <is>
          <t>si</t>
        </is>
      </c>
      <c r="E18" s="11" t="inlineStr">
        <is>
          <t>si</t>
        </is>
      </c>
      <c r="F18" s="11" t="inlineStr">
        <is>
          <t>Angrisano 10% Mocchi 80% Passaro 60%</t>
        </is>
      </c>
      <c r="G18" s="12" t="n">
        <v>0.5</v>
      </c>
      <c r="H18" s="11" t="inlineStr">
        <is>
          <t>no</t>
        </is>
      </c>
      <c r="I18" s="6">
        <f>IF(B18="si",Parametri!$C$7/COUNTIF($B$2:$B$33,"si"),0)</f>
        <v/>
      </c>
      <c r="J18" s="6">
        <f>IF(B18="si",Parametri!$C$8*C18/SUMIF($B$2:$B$33,"si",$C$2:$C$33),0)</f>
        <v/>
      </c>
      <c r="K18" s="6">
        <f>IF(D18="si",Parametri!$C$9/COUNTIF($D$2:$D$33,"si"),0)</f>
        <v/>
      </c>
      <c r="L18" s="6">
        <f>IF(E18="si",Parametri!$C$10/COUNTIF($E$2:$E$33,"si"),0)</f>
        <v/>
      </c>
      <c r="M18" s="6">
        <f>IF(H18="si",Parametri!$C$11/COUNTIF($H$2:$H$33,"si"),0)</f>
        <v/>
      </c>
      <c r="N18" s="9">
        <f>SUM(I18:M18)</f>
        <v/>
      </c>
      <c r="O18" s="2" t="inlineStr">
        <is>
          <t>Docente</t>
        </is>
      </c>
      <c r="P18" s="2">
        <f>IF(AND(H18="si",G18&lt;0.8),"⚠ C5=si ma media &lt;80%",IF(AND(H18="no",G18&gt;=0.8),"⚠ C5=no ma media ≥80%",""))</f>
        <v/>
      </c>
    </row>
    <row r="19">
      <c r="A19" s="2" t="inlineStr">
        <is>
          <t>Monaco</t>
        </is>
      </c>
      <c r="B19" s="11" t="inlineStr">
        <is>
          <t>si</t>
        </is>
      </c>
      <c r="C19" s="11" t="n">
        <v>0.7</v>
      </c>
      <c r="D19" s="11" t="inlineStr">
        <is>
          <t>si</t>
        </is>
      </c>
      <c r="E19" s="11" t="inlineStr">
        <is>
          <t>no</t>
        </is>
      </c>
      <c r="F19" s="11" t="inlineStr">
        <is>
          <t>Monaco 90% Bisogno 80%</t>
        </is>
      </c>
      <c r="G19" s="12" t="n">
        <v>0.85</v>
      </c>
      <c r="H19" s="11" t="inlineStr">
        <is>
          <t>si</t>
        </is>
      </c>
      <c r="I19" s="6">
        <f>IF(B19="si",Parametri!$C$7/COUNTIF($B$2:$B$33,"si"),0)</f>
        <v/>
      </c>
      <c r="J19" s="6">
        <f>IF(B19="si",Parametri!$C$8*C19/SUMIF($B$2:$B$33,"si",$C$2:$C$33),0)</f>
        <v/>
      </c>
      <c r="K19" s="6">
        <f>IF(D19="si",Parametri!$C$9/COUNTIF($D$2:$D$33,"si"),0)</f>
        <v/>
      </c>
      <c r="L19" s="6">
        <f>IF(E19="si",Parametri!$C$10/COUNTIF($E$2:$E$33,"si"),0)</f>
        <v/>
      </c>
      <c r="M19" s="6">
        <f>IF(H19="si",Parametri!$C$11/COUNTIF($H$2:$H$33,"si"),0)</f>
        <v/>
      </c>
      <c r="N19" s="9">
        <f>SUM(I19:M19)</f>
        <v/>
      </c>
      <c r="O19" s="2" t="inlineStr">
        <is>
          <t>Docente</t>
        </is>
      </c>
      <c r="P19" s="2">
        <f>IF(AND(H19="si",G19&lt;0.8),"⚠ C5=si ma media &lt;80%",IF(AND(H19="no",G19&gt;=0.8),"⚠ C5=no ma media ≥80%",""))</f>
        <v/>
      </c>
    </row>
    <row r="20">
      <c r="A20" s="2" t="inlineStr">
        <is>
          <t>Napoli</t>
        </is>
      </c>
      <c r="B20" s="11" t="inlineStr">
        <is>
          <t>si</t>
        </is>
      </c>
      <c r="C20" s="11" t="n">
        <v>0.4</v>
      </c>
      <c r="D20" s="11" t="inlineStr">
        <is>
          <t>si</t>
        </is>
      </c>
      <c r="E20" s="11" t="inlineStr">
        <is>
          <t>no</t>
        </is>
      </c>
      <c r="F20" s="11" t="inlineStr">
        <is>
          <t>Napoli 95% Passaro 30%</t>
        </is>
      </c>
      <c r="G20" s="12" t="n">
        <v>0.625</v>
      </c>
      <c r="H20" s="11" t="inlineStr">
        <is>
          <t>no</t>
        </is>
      </c>
      <c r="I20" s="6">
        <f>IF(B20="si",Parametri!$C$7/COUNTIF($B$2:$B$33,"si"),0)</f>
        <v/>
      </c>
      <c r="J20" s="6">
        <f>IF(B20="si",Parametri!$C$8*C20/SUMIF($B$2:$B$33,"si",$C$2:$C$33),0)</f>
        <v/>
      </c>
      <c r="K20" s="6">
        <f>IF(D20="si",Parametri!$C$9/COUNTIF($D$2:$D$33,"si"),0)</f>
        <v/>
      </c>
      <c r="L20" s="6">
        <f>IF(E20="si",Parametri!$C$10/COUNTIF($E$2:$E$33,"si"),0)</f>
        <v/>
      </c>
      <c r="M20" s="6">
        <f>IF(H20="si",Parametri!$C$11/COUNTIF($H$2:$H$33,"si"),0)</f>
        <v/>
      </c>
      <c r="N20" s="9">
        <f>SUM(I20:M20)</f>
        <v/>
      </c>
      <c r="O20" s="2" t="inlineStr">
        <is>
          <t>Docente</t>
        </is>
      </c>
      <c r="P20" s="2">
        <f>IF(AND(H20="si",G20&lt;0.8),"⚠ C5=si ma media &lt;80%",IF(AND(H20="no",G20&gt;=0.8),"⚠ C5=no ma media ≥80%",""))</f>
        <v/>
      </c>
    </row>
    <row r="21">
      <c r="A21" s="2" t="inlineStr">
        <is>
          <t>Pardini</t>
        </is>
      </c>
      <c r="B21" s="11" t="inlineStr">
        <is>
          <t>si</t>
        </is>
      </c>
      <c r="C21" s="11" t="n">
        <v>0.7</v>
      </c>
      <c r="D21" s="11" t="inlineStr">
        <is>
          <t>si</t>
        </is>
      </c>
      <c r="E21" s="11" t="inlineStr">
        <is>
          <t>no</t>
        </is>
      </c>
      <c r="F21" s="11" t="inlineStr">
        <is>
          <t>Pardini 80% Longo 10%</t>
        </is>
      </c>
      <c r="G21" s="12" t="n">
        <v>0.45</v>
      </c>
      <c r="H21" s="11" t="inlineStr">
        <is>
          <t>no</t>
        </is>
      </c>
      <c r="I21" s="6">
        <f>IF(B21="si",Parametri!$C$7/COUNTIF($B$2:$B$33,"si"),0)</f>
        <v/>
      </c>
      <c r="J21" s="6">
        <f>IF(B21="si",Parametri!$C$8*C21/SUMIF($B$2:$B$33,"si",$C$2:$C$33),0)</f>
        <v/>
      </c>
      <c r="K21" s="6">
        <f>IF(D21="si",Parametri!$C$9/COUNTIF($D$2:$D$33,"si"),0)</f>
        <v/>
      </c>
      <c r="L21" s="6">
        <f>IF(E21="si",Parametri!$C$10/COUNTIF($E$2:$E$33,"si"),0)</f>
        <v/>
      </c>
      <c r="M21" s="6">
        <f>IF(H21="si",Parametri!$C$11/COUNTIF($H$2:$H$33,"si"),0)</f>
        <v/>
      </c>
      <c r="N21" s="9">
        <f>SUM(I21:M21)</f>
        <v/>
      </c>
      <c r="O21" s="2" t="inlineStr">
        <is>
          <t>Docente</t>
        </is>
      </c>
      <c r="P21" s="2">
        <f>IF(AND(H21="si",G21&lt;0.8),"⚠ C5=si ma media &lt;80%",IF(AND(H21="no",G21&gt;=0.8),"⚠ C5=no ma media ≥80%",""))</f>
        <v/>
      </c>
    </row>
    <row r="22">
      <c r="A22" s="2" t="inlineStr">
        <is>
          <t>Pellegrino</t>
        </is>
      </c>
      <c r="B22" s="11" t="inlineStr">
        <is>
          <t>si</t>
        </is>
      </c>
      <c r="C22" s="11" t="n">
        <v>0.7</v>
      </c>
      <c r="D22" s="11" t="inlineStr">
        <is>
          <t>si</t>
        </is>
      </c>
      <c r="E22" s="11" t="inlineStr">
        <is>
          <t>si</t>
        </is>
      </c>
      <c r="F22" s="11" t="inlineStr">
        <is>
          <t>Pellegrino 90% Mugione 90% Musmeci 85% Santoriello 90%</t>
        </is>
      </c>
      <c r="G22" s="12" t="n">
        <v>0.8875</v>
      </c>
      <c r="H22" s="11" t="inlineStr">
        <is>
          <t>si</t>
        </is>
      </c>
      <c r="I22" s="6">
        <f>IF(B22="si",Parametri!$C$7/COUNTIF($B$2:$B$33,"si"),0)</f>
        <v/>
      </c>
      <c r="J22" s="6">
        <f>IF(B22="si",Parametri!$C$8*C22/SUMIF($B$2:$B$33,"si",$C$2:$C$33),0)</f>
        <v/>
      </c>
      <c r="K22" s="6">
        <f>IF(D22="si",Parametri!$C$9/COUNTIF($D$2:$D$33,"si"),0)</f>
        <v/>
      </c>
      <c r="L22" s="6">
        <f>IF(E22="si",Parametri!$C$10/COUNTIF($E$2:$E$33,"si"),0)</f>
        <v/>
      </c>
      <c r="M22" s="6">
        <f>IF(H22="si",Parametri!$C$11/COUNTIF($H$2:$H$33,"si"),0)</f>
        <v/>
      </c>
      <c r="N22" s="9">
        <f>SUM(I22:M22)</f>
        <v/>
      </c>
      <c r="O22" s="2" t="inlineStr">
        <is>
          <t>Docente</t>
        </is>
      </c>
      <c r="P22" s="2">
        <f>IF(AND(H22="si",G22&lt;0.8),"⚠ C5=si ma media &lt;80%",IF(AND(H22="no",G22&gt;=0.8),"⚠ C5=no ma media ≥80%",""))</f>
        <v/>
      </c>
    </row>
    <row r="23">
      <c r="A23" s="2" t="inlineStr">
        <is>
          <t>Pistoia</t>
        </is>
      </c>
      <c r="B23" s="11" t="inlineStr">
        <is>
          <t>si</t>
        </is>
      </c>
      <c r="C23" s="11" t="n">
        <v>0.7</v>
      </c>
      <c r="D23" s="11" t="inlineStr">
        <is>
          <t>si</t>
        </is>
      </c>
      <c r="E23" s="11" t="inlineStr">
        <is>
          <t>si</t>
        </is>
      </c>
      <c r="F23" s="11" t="inlineStr">
        <is>
          <t>Frasca 90% Locanto 95% Palmieri 95% Pistoia 95%</t>
        </is>
      </c>
      <c r="G23" s="12" t="n">
        <v>0.9375</v>
      </c>
      <c r="H23" s="11" t="inlineStr">
        <is>
          <t>si</t>
        </is>
      </c>
      <c r="I23" s="6">
        <f>IF(B23="si",Parametri!$C$7/COUNTIF($B$2:$B$33,"si"),0)</f>
        <v/>
      </c>
      <c r="J23" s="6">
        <f>IF(B23="si",Parametri!$C$8*C23/SUMIF($B$2:$B$33,"si",$C$2:$C$33),0)</f>
        <v/>
      </c>
      <c r="K23" s="6">
        <f>IF(D23="si",Parametri!$C$9/COUNTIF($D$2:$D$33,"si"),0)</f>
        <v/>
      </c>
      <c r="L23" s="6">
        <f>IF(E23="si",Parametri!$C$10/COUNTIF($E$2:$E$33,"si"),0)</f>
        <v/>
      </c>
      <c r="M23" s="6">
        <f>IF(H23="si",Parametri!$C$11/COUNTIF($H$2:$H$33,"si"),0)</f>
        <v/>
      </c>
      <c r="N23" s="9">
        <f>SUM(I23:M23)</f>
        <v/>
      </c>
      <c r="O23" s="2" t="inlineStr">
        <is>
          <t>Docente</t>
        </is>
      </c>
      <c r="P23" s="2">
        <f>IF(AND(H23="si",G23&lt;0.8),"⚠ C5=si ma media &lt;80%",IF(AND(H23="no",G23&gt;=0.8),"⚠ C5=no ma media ≥80%",""))</f>
        <v/>
      </c>
    </row>
    <row r="24">
      <c r="A24" s="2" t="inlineStr">
        <is>
          <t>Regnoli</t>
        </is>
      </c>
      <c r="B24" s="11" t="inlineStr">
        <is>
          <t>si</t>
        </is>
      </c>
      <c r="C24" s="11" t="n">
        <v>0.7</v>
      </c>
      <c r="D24" s="11" t="inlineStr">
        <is>
          <t>si</t>
        </is>
      </c>
      <c r="E24" s="11" t="inlineStr">
        <is>
          <t>si</t>
        </is>
      </c>
      <c r="F24" s="11" t="inlineStr">
        <is>
          <t>Regnoli 92% (esterni Aiello 1% Calabrese 1% Latorraca 1%)</t>
        </is>
      </c>
      <c r="G24" s="12" t="n">
        <v>0.92</v>
      </c>
      <c r="H24" s="11" t="inlineStr">
        <is>
          <t>si</t>
        </is>
      </c>
      <c r="I24" s="6">
        <f>IF(B24="si",Parametri!$C$7/COUNTIF($B$2:$B$33,"si"),0)</f>
        <v/>
      </c>
      <c r="J24" s="6">
        <f>IF(B24="si",Parametri!$C$8*C24/SUMIF($B$2:$B$33,"si",$C$2:$C$33),0)</f>
        <v/>
      </c>
      <c r="K24" s="6">
        <f>IF(D24="si",Parametri!$C$9/COUNTIF($D$2:$D$33,"si"),0)</f>
        <v/>
      </c>
      <c r="L24" s="6">
        <f>IF(E24="si",Parametri!$C$10/COUNTIF($E$2:$E$33,"si"),0)</f>
        <v/>
      </c>
      <c r="M24" s="6">
        <f>IF(H24="si",Parametri!$C$11/COUNTIF($H$2:$H$33,"si"),0)</f>
        <v/>
      </c>
      <c r="N24" s="9">
        <f>SUM(I24:M24)</f>
        <v/>
      </c>
      <c r="O24" s="2" t="inlineStr">
        <is>
          <t>Docente</t>
        </is>
      </c>
      <c r="P24" s="2">
        <f>IF(AND(H24="si",G24&lt;0.8),"⚠ C5=si ma media &lt;80%",IF(AND(H24="no",G24&gt;=0.8),"⚠ C5=no ma media ≥80%",""))</f>
        <v/>
      </c>
    </row>
    <row r="25">
      <c r="A25" s="2" t="inlineStr">
        <is>
          <t>Riccio</t>
        </is>
      </c>
      <c r="B25" s="11" t="inlineStr">
        <is>
          <t>si</t>
        </is>
      </c>
      <c r="C25" s="11" t="n">
        <v>0.4</v>
      </c>
      <c r="D25" s="11" t="inlineStr">
        <is>
          <t>no</t>
        </is>
      </c>
      <c r="E25" s="11" t="inlineStr">
        <is>
          <t>si</t>
        </is>
      </c>
      <c r="F25" s="11" t="inlineStr">
        <is>
          <t>Riccio 65% (esterni Esposito 35% Sica 5% Parisi 5%)</t>
        </is>
      </c>
      <c r="G25" s="12" t="n">
        <v>0.65</v>
      </c>
      <c r="H25" s="11" t="inlineStr">
        <is>
          <t>no</t>
        </is>
      </c>
      <c r="I25" s="6">
        <f>IF(B25="si",Parametri!$C$7/COUNTIF($B$2:$B$33,"si"),0)</f>
        <v/>
      </c>
      <c r="J25" s="6">
        <f>IF(B25="si",Parametri!$C$8*C25/SUMIF($B$2:$B$33,"si",$C$2:$C$33),0)</f>
        <v/>
      </c>
      <c r="K25" s="6">
        <f>IF(D25="si",Parametri!$C$9/COUNTIF($D$2:$D$33,"si"),0)</f>
        <v/>
      </c>
      <c r="L25" s="6">
        <f>IF(E25="si",Parametri!$C$10/COUNTIF($E$2:$E$33,"si"),0)</f>
        <v/>
      </c>
      <c r="M25" s="6">
        <f>IF(H25="si",Parametri!$C$11/COUNTIF($H$2:$H$33,"si"),0)</f>
        <v/>
      </c>
      <c r="N25" s="9">
        <f>SUM(I25:M25)</f>
        <v/>
      </c>
      <c r="O25" s="2" t="inlineStr">
        <is>
          <t>Docente</t>
        </is>
      </c>
      <c r="P25" s="2">
        <f>IF(AND(H25="si",G25&lt;0.8),"⚠ C5=si ma media &lt;80%",IF(AND(H25="no",G25&gt;=0.8),"⚠ C5=no ma media ≥80%",""))</f>
        <v/>
      </c>
    </row>
    <row r="26">
      <c r="A26" s="2" t="inlineStr">
        <is>
          <t>Ricco</t>
        </is>
      </c>
      <c r="B26" s="11" t="inlineStr">
        <is>
          <t>si</t>
        </is>
      </c>
      <c r="C26" s="11" t="n">
        <v>1</v>
      </c>
      <c r="D26" s="11" t="inlineStr">
        <is>
          <t>si</t>
        </is>
      </c>
      <c r="E26" s="11" t="inlineStr">
        <is>
          <t>no</t>
        </is>
      </c>
      <c r="F26" s="11" t="inlineStr">
        <is>
          <t>Amendola 10% Ricco 80%</t>
        </is>
      </c>
      <c r="G26" s="12" t="n">
        <v>0.45</v>
      </c>
      <c r="H26" s="11" t="inlineStr">
        <is>
          <t>no</t>
        </is>
      </c>
      <c r="I26" s="6">
        <f>IF(B26="si",Parametri!$C$7/COUNTIF($B$2:$B$33,"si"),0)</f>
        <v/>
      </c>
      <c r="J26" s="6">
        <f>IF(B26="si",Parametri!$C$8*C26/SUMIF($B$2:$B$33,"si",$C$2:$C$33),0)</f>
        <v/>
      </c>
      <c r="K26" s="6">
        <f>IF(D26="si",Parametri!$C$9/COUNTIF($D$2:$D$33,"si"),0)</f>
        <v/>
      </c>
      <c r="L26" s="6">
        <f>IF(E26="si",Parametri!$C$10/COUNTIF($E$2:$E$33,"si"),0)</f>
        <v/>
      </c>
      <c r="M26" s="6">
        <f>IF(H26="si",Parametri!$C$11/COUNTIF($H$2:$H$33,"si"),0)</f>
        <v/>
      </c>
      <c r="N26" s="9">
        <f>SUM(I26:M26)</f>
        <v/>
      </c>
      <c r="O26" s="2" t="inlineStr">
        <is>
          <t>Docente</t>
        </is>
      </c>
      <c r="P26" s="2">
        <f>IF(AND(H26="si",G26&lt;0.8),"⚠ C5=si ma media &lt;80%",IF(AND(H26="no",G26&gt;=0.8),"⚠ C5=no ma media ≥80%",""))</f>
        <v/>
      </c>
    </row>
    <row r="27">
      <c r="A27" s="2" t="inlineStr">
        <is>
          <t>Russo</t>
        </is>
      </c>
      <c r="B27" s="11" t="inlineStr">
        <is>
          <t>si</t>
        </is>
      </c>
      <c r="C27" s="11" t="n">
        <v>0.7</v>
      </c>
      <c r="D27" s="11" t="inlineStr">
        <is>
          <t>si</t>
        </is>
      </c>
      <c r="E27" s="11" t="inlineStr">
        <is>
          <t>si</t>
        </is>
      </c>
      <c r="F27" s="11" t="inlineStr">
        <is>
          <t>Russo 95% De Filippis 95% Serra 95% Vitale 95%</t>
        </is>
      </c>
      <c r="G27" s="12" t="n">
        <v>0.95</v>
      </c>
      <c r="H27" s="11" t="inlineStr">
        <is>
          <t>si</t>
        </is>
      </c>
      <c r="I27" s="6">
        <f>IF(B27="si",Parametri!$C$7/COUNTIF($B$2:$B$33,"si"),0)</f>
        <v/>
      </c>
      <c r="J27" s="6">
        <f>IF(B27="si",Parametri!$C$8*C27/SUMIF($B$2:$B$33,"si",$C$2:$C$33),0)</f>
        <v/>
      </c>
      <c r="K27" s="6">
        <f>IF(D27="si",Parametri!$C$9/COUNTIF($D$2:$D$33,"si"),0)</f>
        <v/>
      </c>
      <c r="L27" s="6">
        <f>IF(E27="si",Parametri!$C$10/COUNTIF($E$2:$E$33,"si"),0)</f>
        <v/>
      </c>
      <c r="M27" s="6">
        <f>IF(H27="si",Parametri!$C$11/COUNTIF($H$2:$H$33,"si"),0)</f>
        <v/>
      </c>
      <c r="N27" s="9">
        <f>SUM(I27:M27)</f>
        <v/>
      </c>
      <c r="O27" s="2" t="inlineStr">
        <is>
          <t>Docente</t>
        </is>
      </c>
      <c r="P27" s="2">
        <f>IF(AND(H27="si",G27&lt;0.8),"⚠ C5=si ma media &lt;80%",IF(AND(H27="no",G27&gt;=0.8),"⚠ C5=no ma media ≥80%",""))</f>
        <v/>
      </c>
    </row>
    <row r="28">
      <c r="A28" s="2" t="inlineStr">
        <is>
          <t>Salvatore</t>
        </is>
      </c>
      <c r="B28" s="11" t="inlineStr">
        <is>
          <t>si</t>
        </is>
      </c>
      <c r="C28" s="11" t="n">
        <v>0.7</v>
      </c>
      <c r="D28" s="11" t="inlineStr">
        <is>
          <t>si</t>
        </is>
      </c>
      <c r="E28" s="11" t="inlineStr">
        <is>
          <t>no</t>
        </is>
      </c>
      <c r="F28" s="11" t="inlineStr">
        <is>
          <t>90%</t>
        </is>
      </c>
      <c r="G28" s="12" t="n">
        <v>0.9</v>
      </c>
      <c r="H28" s="11" t="inlineStr">
        <is>
          <t>si</t>
        </is>
      </c>
      <c r="I28" s="6">
        <f>IF(B28="si",Parametri!$C$7/COUNTIF($B$2:$B$33,"si"),0)</f>
        <v/>
      </c>
      <c r="J28" s="6">
        <f>IF(B28="si",Parametri!$C$8*C28/SUMIF($B$2:$B$33,"si",$C$2:$C$33),0)</f>
        <v/>
      </c>
      <c r="K28" s="6">
        <f>IF(D28="si",Parametri!$C$9/COUNTIF($D$2:$D$33,"si"),0)</f>
        <v/>
      </c>
      <c r="L28" s="6">
        <f>IF(E28="si",Parametri!$C$10/COUNTIF($E$2:$E$33,"si"),0)</f>
        <v/>
      </c>
      <c r="M28" s="6">
        <f>IF(H28="si",Parametri!$C$11/COUNTIF($H$2:$H$33,"si"),0)</f>
        <v/>
      </c>
      <c r="N28" s="9">
        <f>SUM(I28:M28)</f>
        <v/>
      </c>
      <c r="O28" s="2" t="inlineStr">
        <is>
          <t>Docente</t>
        </is>
      </c>
      <c r="P28" s="2">
        <f>IF(AND(H28="si",G28&lt;0.8),"⚠ C5=si ma media &lt;80%",IF(AND(H28="no",G28&gt;=0.8),"⚠ C5=no ma media ≥80%",""))</f>
        <v/>
      </c>
    </row>
    <row r="29">
      <c r="A29" s="2" t="inlineStr">
        <is>
          <t>Santoro</t>
        </is>
      </c>
      <c r="B29" s="11" t="inlineStr">
        <is>
          <t>si</t>
        </is>
      </c>
      <c r="C29" s="11" t="n">
        <v>0.7</v>
      </c>
      <c r="D29" s="11" t="inlineStr">
        <is>
          <t>si</t>
        </is>
      </c>
      <c r="E29" s="11" t="inlineStr">
        <is>
          <t>no</t>
        </is>
      </c>
      <c r="F29" s="11" t="inlineStr">
        <is>
          <t>90%</t>
        </is>
      </c>
      <c r="G29" s="12" t="n">
        <v>0.9</v>
      </c>
      <c r="H29" s="11" t="inlineStr">
        <is>
          <t>si</t>
        </is>
      </c>
      <c r="I29" s="6">
        <f>IF(B29="si",Parametri!$C$7/COUNTIF($B$2:$B$33,"si"),0)</f>
        <v/>
      </c>
      <c r="J29" s="6">
        <f>IF(B29="si",Parametri!$C$8*C29/SUMIF($B$2:$B$33,"si",$C$2:$C$33),0)</f>
        <v/>
      </c>
      <c r="K29" s="6">
        <f>IF(D29="si",Parametri!$C$9/COUNTIF($D$2:$D$33,"si"),0)</f>
        <v/>
      </c>
      <c r="L29" s="6">
        <f>IF(E29="si",Parametri!$C$10/COUNTIF($E$2:$E$33,"si"),0)</f>
        <v/>
      </c>
      <c r="M29" s="6">
        <f>IF(H29="si",Parametri!$C$11/COUNTIF($H$2:$H$33,"si"),0)</f>
        <v/>
      </c>
      <c r="N29" s="9">
        <f>SUM(I29:M29)</f>
        <v/>
      </c>
      <c r="O29" s="2" t="inlineStr">
        <is>
          <t>Docente</t>
        </is>
      </c>
      <c r="P29" s="2">
        <f>IF(AND(H29="si",G29&lt;0.8),"⚠ C5=si ma media &lt;80%",IF(AND(H29="no",G29&gt;=0.8),"⚠ C5=no ma media ≥80%",""))</f>
        <v/>
      </c>
    </row>
    <row r="30">
      <c r="A30" s="2" t="inlineStr">
        <is>
          <t>Sapienza</t>
        </is>
      </c>
      <c r="B30" s="11" t="inlineStr">
        <is>
          <t>si</t>
        </is>
      </c>
      <c r="C30" s="11" t="n">
        <v>0.7</v>
      </c>
      <c r="D30" s="11" t="inlineStr">
        <is>
          <t>si</t>
        </is>
      </c>
      <c r="E30" s="11" t="inlineStr">
        <is>
          <t>si</t>
        </is>
      </c>
      <c r="F30" s="11" t="inlineStr">
        <is>
          <t>D’Arienzo 90% Egidio 90% Innamorati 90% Sapienza 90%</t>
        </is>
      </c>
      <c r="G30" s="12" t="n">
        <v>0.9</v>
      </c>
      <c r="H30" s="11" t="inlineStr">
        <is>
          <t>si</t>
        </is>
      </c>
      <c r="I30" s="6">
        <f>IF(B30="si",Parametri!$C$7/COUNTIF($B$2:$B$33,"si"),0)</f>
        <v/>
      </c>
      <c r="J30" s="6">
        <f>IF(B30="si",Parametri!$C$8*C30/SUMIF($B$2:$B$33,"si",$C$2:$C$33),0)</f>
        <v/>
      </c>
      <c r="K30" s="6">
        <f>IF(D30="si",Parametri!$C$9/COUNTIF($D$2:$D$33,"si"),0)</f>
        <v/>
      </c>
      <c r="L30" s="6">
        <f>IF(E30="si",Parametri!$C$10/COUNTIF($E$2:$E$33,"si"),0)</f>
        <v/>
      </c>
      <c r="M30" s="6">
        <f>IF(H30="si",Parametri!$C$11/COUNTIF($H$2:$H$33,"si"),0)</f>
        <v/>
      </c>
      <c r="N30" s="9">
        <f>SUM(I30:M30)</f>
        <v/>
      </c>
      <c r="O30" s="2" t="inlineStr">
        <is>
          <t>Docente</t>
        </is>
      </c>
      <c r="P30" s="2">
        <f>IF(AND(H30="si",G30&lt;0.8),"⚠ C5=si ma media &lt;80%",IF(AND(H30="no",G30&gt;=0.8),"⚠ C5=no ma media ≥80%",""))</f>
        <v/>
      </c>
    </row>
    <row r="31">
      <c r="A31" s="2" t="inlineStr">
        <is>
          <t>Vaccaro</t>
        </is>
      </c>
      <c r="B31" s="11" t="inlineStr">
        <is>
          <t>si</t>
        </is>
      </c>
      <c r="C31" s="11" t="n">
        <v>0.7</v>
      </c>
      <c r="D31" s="11" t="inlineStr">
        <is>
          <t>si</t>
        </is>
      </c>
      <c r="E31" s="11" t="inlineStr">
        <is>
          <t>si</t>
        </is>
      </c>
      <c r="F31" s="11" t="inlineStr">
        <is>
          <t>Amendola 10% Bilotta 10% Vaccaro 70%</t>
        </is>
      </c>
      <c r="G31" s="12" t="n">
        <v>0.3</v>
      </c>
      <c r="H31" s="11" t="inlineStr">
        <is>
          <t>no</t>
        </is>
      </c>
      <c r="I31" s="6">
        <f>IF(B31="si",Parametri!$C$7/COUNTIF($B$2:$B$33,"si"),0)</f>
        <v/>
      </c>
      <c r="J31" s="6">
        <f>IF(B31="si",Parametri!$C$8*C31/SUMIF($B$2:$B$33,"si",$C$2:$C$33),0)</f>
        <v/>
      </c>
      <c r="K31" s="6">
        <f>IF(D31="si",Parametri!$C$9/COUNTIF($D$2:$D$33,"si"),0)</f>
        <v/>
      </c>
      <c r="L31" s="6">
        <f>IF(E31="si",Parametri!$C$10/COUNTIF($E$2:$E$33,"si"),0)</f>
        <v/>
      </c>
      <c r="M31" s="6">
        <f>IF(H31="si",Parametri!$C$11/COUNTIF($H$2:$H$33,"si"),0)</f>
        <v/>
      </c>
      <c r="N31" s="9">
        <f>SUM(I31:M31)</f>
        <v/>
      </c>
      <c r="O31" s="2" t="inlineStr">
        <is>
          <t>Docente</t>
        </is>
      </c>
      <c r="P31" s="2">
        <f>IF(AND(H31="si",G31&lt;0.8),"⚠ C5=si ma media &lt;80%",IF(AND(H31="no",G31&gt;=0.8),"⚠ C5=no ma media ≥80%",""))</f>
        <v/>
      </c>
    </row>
    <row r="32">
      <c r="A32" s="2" t="inlineStr">
        <is>
          <t>Marino</t>
        </is>
      </c>
      <c r="B32" s="11" t="inlineStr">
        <is>
          <t>si</t>
        </is>
      </c>
      <c r="C32" s="11" t="n">
        <v>1</v>
      </c>
      <c r="D32" s="11" t="inlineStr">
        <is>
          <t>si</t>
        </is>
      </c>
      <c r="E32" s="11" t="inlineStr">
        <is>
          <t>no</t>
        </is>
      </c>
      <c r="F32" s="11" t="inlineStr">
        <is>
          <t>95%</t>
        </is>
      </c>
      <c r="G32" s="12" t="n">
        <v>0.95</v>
      </c>
      <c r="H32" s="11" t="inlineStr">
        <is>
          <t>si</t>
        </is>
      </c>
      <c r="I32" s="6">
        <f>IF(B32="si",Parametri!$C$7/COUNTIF($B$2:$B$33,"si"),0)</f>
        <v/>
      </c>
      <c r="J32" s="6">
        <f>IF(B32="si",Parametri!$C$8*C32/SUMIF($B$2:$B$33,"si",$C$2:$C$33),0)</f>
        <v/>
      </c>
      <c r="K32" s="6">
        <f>IF(D32="si",Parametri!$C$9/COUNTIF($D$2:$D$33,"si"),0)</f>
        <v/>
      </c>
      <c r="L32" s="6">
        <f>IF(E32="si",Parametri!$C$10/COUNTIF($E$2:$E$33,"si"),0)</f>
        <v/>
      </c>
      <c r="M32" s="6">
        <f>IF(H32="si",Parametri!$C$11/COUNTIF($H$2:$H$33,"si"),0)</f>
        <v/>
      </c>
      <c r="N32" s="9">
        <f>SUM(I32:M32)</f>
        <v/>
      </c>
      <c r="O32" s="2" t="inlineStr">
        <is>
          <t>FARB Dipartimento</t>
        </is>
      </c>
      <c r="P32" s="2">
        <f>IF(AND(H32="si",G32&lt;0.8),"⚠ C5=si ma media &lt;80%",IF(AND(H32="no",G32&gt;=0.8),"⚠ C5=no ma media ≥80%",""))</f>
        <v/>
      </c>
    </row>
    <row r="33">
      <c r="A33" s="2" t="inlineStr">
        <is>
          <t>Santaniello</t>
        </is>
      </c>
      <c r="B33" s="11" t="inlineStr">
        <is>
          <t>si</t>
        </is>
      </c>
      <c r="C33" s="11" t="n">
        <v>0.7</v>
      </c>
      <c r="D33" s="11" t="inlineStr">
        <is>
          <t>si</t>
        </is>
      </c>
      <c r="E33" s="11" t="inlineStr">
        <is>
          <t>si</t>
        </is>
      </c>
      <c r="F33" s="11" t="inlineStr">
        <is>
          <t>Santaniello 70% Amodio 95% Trotta 35%</t>
        </is>
      </c>
      <c r="G33" s="12" t="n">
        <v>0.6666666666666667</v>
      </c>
      <c r="H33" s="11" t="inlineStr">
        <is>
          <t>no</t>
        </is>
      </c>
      <c r="I33" s="6">
        <f>IF(B33="si",Parametri!$C$7/COUNTIF($B$2:$B$33,"si"),0)</f>
        <v/>
      </c>
      <c r="J33" s="6">
        <f>IF(B33="si",Parametri!$C$8*C33/SUMIF($B$2:$B$33,"si",$C$2:$C$33),0)</f>
        <v/>
      </c>
      <c r="K33" s="6">
        <f>IF(D33="si",Parametri!$C$9/COUNTIF($D$2:$D$33,"si"),0)</f>
        <v/>
      </c>
      <c r="L33" s="6">
        <f>IF(E33="si",Parametri!$C$10/COUNTIF($E$2:$E$33,"si"),0)</f>
        <v/>
      </c>
      <c r="M33" s="6">
        <f>IF(H33="si",Parametri!$C$11/COUNTIF($H$2:$H$33,"si"),0)</f>
        <v/>
      </c>
      <c r="N33" s="9">
        <f>SUM(I33:M33)</f>
        <v/>
      </c>
      <c r="O33" s="2" t="inlineStr">
        <is>
          <t>FARB Dipartimento</t>
        </is>
      </c>
      <c r="P33" s="2">
        <f>IF(AND(H33="si",G33&lt;0.8),"⚠ C5=si ma media &lt;80%",IF(AND(H33="no",G33&gt;=0.8),"⚠ C5=no ma media ≥80%",""))</f>
        <v/>
      </c>
    </row>
    <row r="34">
      <c r="A34" s="7" t="inlineStr">
        <is>
          <t>TOTALE progetti</t>
        </is>
      </c>
      <c r="B34" s="2" t="n"/>
      <c r="C34" s="2" t="n"/>
      <c r="D34" s="2" t="n"/>
      <c r="E34" s="2" t="n"/>
      <c r="F34" s="2" t="n"/>
      <c r="G34" s="2" t="n"/>
      <c r="H34" s="2" t="n"/>
      <c r="I34" s="9">
        <f>SUM(I2:I33)</f>
        <v/>
      </c>
      <c r="J34" s="9">
        <f>SUM(J2:J33)</f>
        <v/>
      </c>
      <c r="K34" s="9">
        <f>SUM(K2:K33)</f>
        <v/>
      </c>
      <c r="L34" s="9">
        <f>SUM(L2:L33)</f>
        <v/>
      </c>
      <c r="M34" s="9">
        <f>SUM(M2:M33)</f>
        <v/>
      </c>
      <c r="N34" s="9">
        <f>SUM(N2:N33)</f>
        <v/>
      </c>
      <c r="O34" s="2" t="n"/>
      <c r="P34" s="2" t="n"/>
    </row>
    <row r="35">
      <c r="A35" s="2" t="inlineStr">
        <is>
          <t>N. progetti con "si"</t>
        </is>
      </c>
      <c r="B35" s="2" t="n"/>
      <c r="C35" s="2" t="n"/>
      <c r="D35" s="2" t="n"/>
      <c r="E35" s="2" t="n"/>
      <c r="F35" s="2" t="n"/>
      <c r="G35" s="2" t="n"/>
      <c r="H35" s="2" t="n"/>
      <c r="I35" s="2">
        <f>COUNTIF($B$2:$B$33,"si")</f>
        <v/>
      </c>
      <c r="J35" s="13">
        <f>SUMIF($B$2:$B$33,"si",$C$2:$C$33)</f>
        <v/>
      </c>
      <c r="K35" s="2">
        <f>COUNTIF($D$2:$D$33,"si")</f>
        <v/>
      </c>
      <c r="L35" s="2">
        <f>COUNTIF($E$2:$E$33,"si")</f>
        <v/>
      </c>
      <c r="M35" s="2">
        <f>COUNTIF($H$2:$H$33,"si")</f>
        <v/>
      </c>
      <c r="N35" s="2" t="n"/>
      <c r="O35" s="2" t="n"/>
      <c r="P35" s="2" t="n"/>
    </row>
    <row r="36">
      <c r="A36" s="2" t="inlineStr">
        <is>
          <t>Quota unitaria (per progetto "si" / per punto di peso)</t>
        </is>
      </c>
      <c r="B36" s="2" t="n"/>
      <c r="C36" s="2" t="n"/>
      <c r="D36" s="2" t="n"/>
      <c r="E36" s="2" t="n"/>
      <c r="F36" s="2" t="n"/>
      <c r="G36" s="2" t="n"/>
      <c r="H36" s="2" t="n"/>
      <c r="I36" s="6">
        <f>Parametri!$C$7/I35</f>
        <v/>
      </c>
      <c r="J36" s="6">
        <f>Parametri!$C$8/J35</f>
        <v/>
      </c>
      <c r="K36" s="6">
        <f>Parametri!$C$9/K35</f>
        <v/>
      </c>
      <c r="L36" s="6">
        <f>Parametri!$C$10/L35</f>
        <v/>
      </c>
      <c r="M36" s="6">
        <f>Parametri!$C$11/M35</f>
        <v/>
      </c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14" t="inlineStr">
        <is>
          <t>RIEPILOGO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inlineStr">
        <is>
          <t>FARB DiSPaC – quota 10%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6">
        <f>Parametri!$C$6</f>
        <v/>
      </c>
      <c r="O39" s="2" t="n"/>
      <c r="P39" s="2" t="n"/>
    </row>
    <row r="40">
      <c r="A40" s="2" t="inlineStr">
        <is>
          <t>+ progetti confluiti (Marino, Santaniello)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6">
        <f>SUMIF($O$2:$O$33,"FARB Dipartimento",$N$2:$N$33)</f>
        <v/>
      </c>
      <c r="O40" s="2" t="n"/>
      <c r="P40" s="2" t="n"/>
    </row>
    <row r="41">
      <c r="A41" s="7">
        <f> FARB DiSPaC complessivo</f>
        <v/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9">
        <f>N39+N40</f>
        <v/>
      </c>
      <c r="O41" s="2" t="n"/>
      <c r="P41" s="2" t="n"/>
    </row>
    <row r="42">
      <c r="A42" s="2" t="inlineStr">
        <is>
          <t>Assegnato ai docenti proponenti (30 progetti)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6">
        <f>SUMIF($O$2:$O$33,"Docente",$N$2:$N$33)</f>
        <v/>
      </c>
      <c r="O42" s="2" t="n"/>
      <c r="P42" s="2" t="n"/>
    </row>
    <row r="43">
      <c r="A43" s="7" t="inlineStr">
        <is>
          <t>TOTALE GENERALE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9">
        <f>N41+N42</f>
        <v/>
      </c>
      <c r="O43" s="2" t="n"/>
      <c r="P43" s="2" t="n"/>
    </row>
    <row r="44">
      <c r="A44" s="2" t="inlineStr">
        <is>
          <t>Controllo vs totale finanziamento (deve essere 0)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6">
        <f>N43-Parametri!$B$3</f>
        <v/>
      </c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7" t="inlineStr">
        <is>
          <t>Note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inlineStr">
        <is>
          <t>Input in blu = trascritti dalla tabella della Commissione (riunione 26.09.2026); le quote si ricalcolano se si cambia un si/no o un peso.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inlineStr">
        <is>
          <t>C4: la tabella della Commissione indica solo si/no; qui la quota è divisa in parti uguali. Il Regolamento parla di aggregazione "ponderata dall'impegno": se la Commissione vuole la ponderazione, va definito il criterio.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inlineStr">
        <is>
          <t>C4: per raggiungere la soglia dei 3 docenti la Commissione ha contato anche i componenti esterni (Lamberti, Gorrese, Regnoli, Riccio).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inlineStr">
        <is>
          <t>C5: la media è calcolata sui soli componenti interni, come ha fatto la Commissione (Fiorillo, Gorrese, Regnoli).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inlineStr">
        <is>
          <t>Marino e Santaniello: valutati come gli altri progetti (rientrano nei denominatori); le loro quote vanno al FARB di Dipartimento.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2026-09-27T07:09:38Z</dcterms:created>
  <dcterms:modified xmlns:dcterms="http://purl.org/dc/terms/" xmlns:xsi="http://www.w3.org/2001/XMLSchema-instance" xsi:type="dcterms:W3CDTF">2026-09-27T07:09:38Z</dcterms:modified>
</cp:coreProperties>
</file>